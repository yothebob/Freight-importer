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Estimating Tools\Python estimating tools\freight importer\"/>
    </mc:Choice>
  </mc:AlternateContent>
  <xr:revisionPtr revIDLastSave="0" documentId="13_ncr:1_{DC6660D9-5074-4481-965B-AAF21814A53E}" xr6:coauthVersionLast="46" xr6:coauthVersionMax="46" xr10:uidLastSave="{00000000-0000-0000-0000-000000000000}"/>
  <bookViews>
    <workbookView xWindow="-103" yWindow="-103" windowWidth="33120" windowHeight="18120" xr2:uid="{00000000-000D-0000-FFFF-FFFF00000000}"/>
  </bookViews>
  <sheets>
    <sheet name="Freight Quote Workbook" sheetId="1" r:id="rId1"/>
  </sheets>
  <definedNames>
    <definedName name="_xlnm.Print_Area" localSheetId="0">'Freight Quote Workbook'!#REF!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7" i="1" l="1"/>
  <c r="N47" i="1"/>
  <c r="M47" i="1"/>
  <c r="K47" i="1"/>
  <c r="J47" i="1"/>
  <c r="F47" i="1"/>
  <c r="O102" i="1"/>
  <c r="N102" i="1"/>
  <c r="M102" i="1"/>
  <c r="K102" i="1"/>
  <c r="J102" i="1"/>
  <c r="F102" i="1"/>
  <c r="O92" i="1"/>
  <c r="N92" i="1"/>
  <c r="M92" i="1"/>
  <c r="K92" i="1"/>
  <c r="J92" i="1"/>
  <c r="F92" i="1"/>
  <c r="O56" i="1"/>
  <c r="O111" i="1"/>
  <c r="N111" i="1"/>
  <c r="M111" i="1"/>
  <c r="O110" i="1"/>
  <c r="N110" i="1"/>
  <c r="M110" i="1"/>
  <c r="O109" i="1"/>
  <c r="N109" i="1"/>
  <c r="M109" i="1"/>
  <c r="O108" i="1"/>
  <c r="N108" i="1"/>
  <c r="M108" i="1"/>
  <c r="O107" i="1"/>
  <c r="N107" i="1"/>
  <c r="M107" i="1"/>
  <c r="O106" i="1"/>
  <c r="N106" i="1"/>
  <c r="M106" i="1"/>
  <c r="O105" i="1"/>
  <c r="N105" i="1"/>
  <c r="M105" i="1"/>
  <c r="O104" i="1"/>
  <c r="N104" i="1"/>
  <c r="M104" i="1"/>
  <c r="O103" i="1"/>
  <c r="N103" i="1"/>
  <c r="M103" i="1"/>
  <c r="O101" i="1"/>
  <c r="N101" i="1"/>
  <c r="M101" i="1"/>
  <c r="O100" i="1"/>
  <c r="N100" i="1"/>
  <c r="M100" i="1"/>
  <c r="O99" i="1"/>
  <c r="N99" i="1"/>
  <c r="M99" i="1"/>
  <c r="O98" i="1"/>
  <c r="N98" i="1"/>
  <c r="M98" i="1"/>
  <c r="O97" i="1"/>
  <c r="N97" i="1"/>
  <c r="M97" i="1"/>
  <c r="O96" i="1"/>
  <c r="N96" i="1"/>
  <c r="M96" i="1"/>
  <c r="O95" i="1"/>
  <c r="N95" i="1"/>
  <c r="M95" i="1"/>
  <c r="O94" i="1"/>
  <c r="N94" i="1"/>
  <c r="M94" i="1"/>
  <c r="O93" i="1"/>
  <c r="N93" i="1"/>
  <c r="M93" i="1"/>
  <c r="O91" i="1"/>
  <c r="N91" i="1"/>
  <c r="M91" i="1"/>
  <c r="O90" i="1"/>
  <c r="N90" i="1"/>
  <c r="M90" i="1"/>
  <c r="O89" i="1"/>
  <c r="N89" i="1"/>
  <c r="M89" i="1"/>
  <c r="O88" i="1"/>
  <c r="N88" i="1"/>
  <c r="M88" i="1"/>
  <c r="O87" i="1"/>
  <c r="N87" i="1"/>
  <c r="M87" i="1"/>
  <c r="O86" i="1"/>
  <c r="N86" i="1"/>
  <c r="M86" i="1"/>
  <c r="O85" i="1"/>
  <c r="N85" i="1"/>
  <c r="M85" i="1"/>
  <c r="O84" i="1"/>
  <c r="N84" i="1"/>
  <c r="M84" i="1"/>
  <c r="O83" i="1"/>
  <c r="N83" i="1"/>
  <c r="M83" i="1"/>
  <c r="O82" i="1"/>
  <c r="N82" i="1"/>
  <c r="M82" i="1"/>
  <c r="O81" i="1"/>
  <c r="N81" i="1"/>
  <c r="M81" i="1"/>
  <c r="O80" i="1"/>
  <c r="N80" i="1"/>
  <c r="M80" i="1"/>
  <c r="O79" i="1"/>
  <c r="M79" i="1"/>
  <c r="O78" i="1"/>
  <c r="N78" i="1"/>
  <c r="M78" i="1"/>
  <c r="O77" i="1"/>
  <c r="N77" i="1"/>
  <c r="M77" i="1"/>
  <c r="O76" i="1"/>
  <c r="N76" i="1"/>
  <c r="M76" i="1"/>
  <c r="O75" i="1"/>
  <c r="N75" i="1"/>
  <c r="M75" i="1"/>
  <c r="O74" i="1"/>
  <c r="N74" i="1"/>
  <c r="M74" i="1"/>
  <c r="O73" i="1"/>
  <c r="N73" i="1"/>
  <c r="M73" i="1"/>
  <c r="O72" i="1"/>
  <c r="N72" i="1"/>
  <c r="M72" i="1"/>
  <c r="O71" i="1"/>
  <c r="N71" i="1"/>
  <c r="M71" i="1"/>
  <c r="O70" i="1"/>
  <c r="N70" i="1"/>
  <c r="M70" i="1"/>
  <c r="O69" i="1"/>
  <c r="N69" i="1"/>
  <c r="M69" i="1"/>
  <c r="O68" i="1"/>
  <c r="N68" i="1"/>
  <c r="M68" i="1"/>
  <c r="O67" i="1"/>
  <c r="N67" i="1"/>
  <c r="M67" i="1"/>
  <c r="O66" i="1"/>
  <c r="N66" i="1"/>
  <c r="M66" i="1"/>
  <c r="O65" i="1"/>
  <c r="N65" i="1"/>
  <c r="M65" i="1"/>
  <c r="O64" i="1"/>
  <c r="N64" i="1"/>
  <c r="M64" i="1"/>
  <c r="O63" i="1"/>
  <c r="N63" i="1"/>
  <c r="M63" i="1"/>
  <c r="O62" i="1"/>
  <c r="N62" i="1"/>
  <c r="M62" i="1"/>
  <c r="O61" i="1"/>
  <c r="N61" i="1"/>
  <c r="M61" i="1"/>
  <c r="O60" i="1"/>
  <c r="N60" i="1"/>
  <c r="M60" i="1"/>
  <c r="O59" i="1"/>
  <c r="N59" i="1"/>
  <c r="M59" i="1"/>
  <c r="O58" i="1"/>
  <c r="N58" i="1"/>
  <c r="M58" i="1"/>
  <c r="O57" i="1"/>
  <c r="N57" i="1"/>
  <c r="M57" i="1"/>
  <c r="N56" i="1"/>
  <c r="M56" i="1"/>
  <c r="O49" i="1"/>
  <c r="O48" i="1"/>
  <c r="O46" i="1"/>
  <c r="O45" i="1"/>
  <c r="O44" i="1"/>
  <c r="O43" i="1"/>
  <c r="O42" i="1"/>
  <c r="O41" i="1"/>
  <c r="O40" i="1"/>
  <c r="O39" i="1"/>
  <c r="O38" i="1"/>
  <c r="O37" i="1"/>
  <c r="N37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N49" i="1"/>
  <c r="N48" i="1"/>
  <c r="N46" i="1"/>
  <c r="N45" i="1"/>
  <c r="N44" i="1"/>
  <c r="N43" i="1"/>
  <c r="N42" i="1"/>
  <c r="N41" i="1"/>
  <c r="N40" i="1"/>
  <c r="N39" i="1"/>
  <c r="N38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K99" i="1"/>
  <c r="J99" i="1"/>
  <c r="K98" i="1"/>
  <c r="J98" i="1"/>
  <c r="K97" i="1"/>
  <c r="J97" i="1"/>
  <c r="K96" i="1"/>
  <c r="J96" i="1"/>
  <c r="E96" i="1"/>
  <c r="E97" i="1"/>
  <c r="E98" i="1"/>
  <c r="E99" i="1"/>
  <c r="E100" i="1"/>
  <c r="E82" i="1"/>
  <c r="J103" i="1"/>
  <c r="J104" i="1"/>
  <c r="J105" i="1"/>
  <c r="J109" i="1"/>
  <c r="J101" i="1"/>
  <c r="J106" i="1"/>
  <c r="M33" i="1" l="1"/>
  <c r="M53" i="1"/>
  <c r="M52" i="1"/>
  <c r="M34" i="1"/>
  <c r="M114" i="1"/>
  <c r="M116" i="1"/>
  <c r="K111" i="1"/>
  <c r="K110" i="1"/>
  <c r="K109" i="1"/>
  <c r="K108" i="1"/>
  <c r="K107" i="1"/>
  <c r="K100" i="1"/>
  <c r="K106" i="1"/>
  <c r="K105" i="1"/>
  <c r="K104" i="1"/>
  <c r="K103" i="1"/>
  <c r="K101" i="1"/>
  <c r="I28" i="1"/>
  <c r="K28" i="1" s="1"/>
  <c r="I24" i="1"/>
  <c r="J24" i="1" s="1"/>
  <c r="I23" i="1"/>
  <c r="K23" i="1" s="1"/>
  <c r="I22" i="1"/>
  <c r="K22" i="1" s="1"/>
  <c r="I19" i="1"/>
  <c r="K19" i="1" s="1"/>
  <c r="I18" i="1"/>
  <c r="J18" i="1" s="1"/>
  <c r="F109" i="1"/>
  <c r="F108" i="1"/>
  <c r="F107" i="1"/>
  <c r="F100" i="1"/>
  <c r="F106" i="1"/>
  <c r="F105" i="1"/>
  <c r="F104" i="1"/>
  <c r="F103" i="1"/>
  <c r="F101" i="1"/>
  <c r="M28" i="1"/>
  <c r="M24" i="1"/>
  <c r="M23" i="1"/>
  <c r="M22" i="1"/>
  <c r="M19" i="1"/>
  <c r="F19" i="1"/>
  <c r="F24" i="1"/>
  <c r="F23" i="1"/>
  <c r="F22" i="1"/>
  <c r="F21" i="1"/>
  <c r="F28" i="1"/>
  <c r="M18" i="1"/>
  <c r="F18" i="1"/>
  <c r="J23" i="1" l="1"/>
  <c r="J19" i="1"/>
  <c r="J28" i="1"/>
  <c r="K18" i="1"/>
  <c r="K24" i="1"/>
  <c r="J22" i="1"/>
  <c r="F56" i="1"/>
  <c r="K31" i="1"/>
  <c r="J31" i="1"/>
  <c r="F31" i="1"/>
  <c r="K30" i="1"/>
  <c r="J30" i="1"/>
  <c r="E30" i="1"/>
  <c r="M29" i="1"/>
  <c r="I29" i="1"/>
  <c r="F29" i="1"/>
  <c r="I27" i="1"/>
  <c r="F27" i="1"/>
  <c r="M26" i="1"/>
  <c r="I26" i="1"/>
  <c r="F26" i="1"/>
  <c r="I25" i="1"/>
  <c r="J25" i="1" s="1"/>
  <c r="F25" i="1"/>
  <c r="M21" i="1"/>
  <c r="I21" i="1"/>
  <c r="M20" i="1"/>
  <c r="I20" i="1"/>
  <c r="F20" i="1"/>
  <c r="M17" i="1"/>
  <c r="I17" i="1"/>
  <c r="J17" i="1" s="1"/>
  <c r="F17" i="1"/>
  <c r="M16" i="1"/>
  <c r="K16" i="1"/>
  <c r="J16" i="1"/>
  <c r="F16" i="1"/>
  <c r="M15" i="1"/>
  <c r="K15" i="1"/>
  <c r="J15" i="1"/>
  <c r="F15" i="1"/>
  <c r="M14" i="1"/>
  <c r="K14" i="1"/>
  <c r="J14" i="1"/>
  <c r="F14" i="1"/>
  <c r="M13" i="1"/>
  <c r="K13" i="1"/>
  <c r="J13" i="1"/>
  <c r="F13" i="1"/>
  <c r="I12" i="1"/>
  <c r="J12" i="1" s="1"/>
  <c r="F12" i="1"/>
  <c r="M11" i="1"/>
  <c r="K11" i="1"/>
  <c r="J11" i="1"/>
  <c r="F11" i="1"/>
  <c r="M10" i="1"/>
  <c r="K10" i="1"/>
  <c r="J10" i="1"/>
  <c r="F10" i="1"/>
  <c r="M9" i="1"/>
  <c r="I9" i="1"/>
  <c r="K9" i="1" s="1"/>
  <c r="F9" i="1"/>
  <c r="M8" i="1"/>
  <c r="K8" i="1"/>
  <c r="J8" i="1"/>
  <c r="F8" i="1"/>
  <c r="M7" i="1"/>
  <c r="K7" i="1"/>
  <c r="J7" i="1"/>
  <c r="F7" i="1"/>
  <c r="M6" i="1"/>
  <c r="K6" i="1"/>
  <c r="J6" i="1"/>
  <c r="F6" i="1"/>
  <c r="M5" i="1"/>
  <c r="K5" i="1"/>
  <c r="J5" i="1"/>
  <c r="F5" i="1"/>
  <c r="M4" i="1"/>
  <c r="I4" i="1"/>
  <c r="K4" i="1" s="1"/>
  <c r="F4" i="1"/>
  <c r="M3" i="1"/>
  <c r="K3" i="1"/>
  <c r="J3" i="1"/>
  <c r="F3" i="1"/>
  <c r="M25" i="1" l="1"/>
  <c r="J27" i="1"/>
  <c r="K27" i="1"/>
  <c r="J20" i="1"/>
  <c r="K20" i="1"/>
  <c r="J26" i="1"/>
  <c r="K26" i="1"/>
  <c r="J21" i="1"/>
  <c r="K21" i="1"/>
  <c r="M12" i="1"/>
  <c r="J29" i="1"/>
  <c r="K29" i="1"/>
  <c r="K12" i="1"/>
  <c r="F30" i="1"/>
  <c r="F32" i="1" s="1"/>
  <c r="J9" i="1"/>
  <c r="K17" i="1"/>
  <c r="K25" i="1"/>
  <c r="M27" i="1"/>
  <c r="J4" i="1"/>
  <c r="F113" i="1"/>
  <c r="F110" i="1"/>
  <c r="J110" i="1"/>
  <c r="K113" i="1"/>
  <c r="J113" i="1"/>
  <c r="K112" i="1"/>
  <c r="J112" i="1"/>
  <c r="E112" i="1"/>
  <c r="M32" i="1" l="1"/>
  <c r="K32" i="1"/>
  <c r="J45" i="1" l="1"/>
  <c r="F45" i="1"/>
  <c r="K46" i="1" l="1"/>
  <c r="M42" i="1" l="1"/>
  <c r="J42" i="1"/>
  <c r="E49" i="1"/>
  <c r="F42" i="1" l="1"/>
  <c r="K44" i="1"/>
  <c r="E83" i="1"/>
  <c r="M49" i="1" l="1"/>
  <c r="M48" i="1"/>
  <c r="M46" i="1"/>
  <c r="M45" i="1"/>
  <c r="M44" i="1"/>
  <c r="M41" i="1"/>
  <c r="M40" i="1"/>
  <c r="M39" i="1"/>
  <c r="M38" i="1"/>
  <c r="M37" i="1"/>
  <c r="K50" i="1" l="1"/>
  <c r="K49" i="1"/>
  <c r="K87" i="1"/>
  <c r="K94" i="1"/>
  <c r="K95" i="1"/>
  <c r="K38" i="1"/>
  <c r="K91" i="1"/>
  <c r="K90" i="1"/>
  <c r="K85" i="1"/>
  <c r="K59" i="1"/>
  <c r="K58" i="1"/>
  <c r="K42" i="1"/>
  <c r="K83" i="1"/>
  <c r="K82" i="1"/>
  <c r="K81" i="1"/>
  <c r="K78" i="1"/>
  <c r="K80" i="1"/>
  <c r="K84" i="1"/>
  <c r="K57" i="1"/>
  <c r="K66" i="1"/>
  <c r="K56" i="1"/>
  <c r="K65" i="1"/>
  <c r="K39" i="1"/>
  <c r="K74" i="1"/>
  <c r="K73" i="1"/>
  <c r="K72" i="1"/>
  <c r="K45" i="1"/>
  <c r="K48" i="1"/>
  <c r="K93" i="1"/>
  <c r="K86" i="1"/>
  <c r="K63" i="1"/>
  <c r="K41" i="1"/>
  <c r="K40" i="1"/>
  <c r="K88" i="1"/>
  <c r="K89" i="1"/>
  <c r="K62" i="1"/>
  <c r="K61" i="1"/>
  <c r="K60" i="1"/>
  <c r="K70" i="1"/>
  <c r="K69" i="1"/>
  <c r="K68" i="1"/>
  <c r="K67" i="1"/>
  <c r="K64" i="1"/>
  <c r="K77" i="1"/>
  <c r="K71" i="1"/>
  <c r="F38" i="1" l="1"/>
  <c r="F39" i="1"/>
  <c r="J38" i="1"/>
  <c r="J39" i="1"/>
  <c r="G79" i="1" l="1"/>
  <c r="J72" i="1"/>
  <c r="F72" i="1"/>
  <c r="I37" i="1"/>
  <c r="K43" i="1"/>
  <c r="J48" i="1"/>
  <c r="J44" i="1"/>
  <c r="F48" i="1"/>
  <c r="F44" i="1"/>
  <c r="J46" i="1"/>
  <c r="F46" i="1"/>
  <c r="J41" i="1"/>
  <c r="F41" i="1"/>
  <c r="J60" i="1"/>
  <c r="J62" i="1"/>
  <c r="F60" i="1"/>
  <c r="F62" i="1"/>
  <c r="J83" i="1"/>
  <c r="F83" i="1"/>
  <c r="J57" i="1"/>
  <c r="J56" i="1"/>
  <c r="F57" i="1"/>
  <c r="J82" i="1"/>
  <c r="F82" i="1"/>
  <c r="I76" i="1"/>
  <c r="K76" i="1" s="1"/>
  <c r="I75" i="1"/>
  <c r="K75" i="1" s="1"/>
  <c r="J87" i="1"/>
  <c r="J94" i="1"/>
  <c r="J95" i="1"/>
  <c r="J70" i="1"/>
  <c r="J69" i="1"/>
  <c r="J68" i="1"/>
  <c r="J91" i="1"/>
  <c r="J90" i="1"/>
  <c r="J108" i="1"/>
  <c r="J111" i="1"/>
  <c r="J107" i="1"/>
  <c r="J100" i="1"/>
  <c r="J93" i="1"/>
  <c r="J66" i="1"/>
  <c r="J65" i="1"/>
  <c r="J43" i="1"/>
  <c r="J74" i="1"/>
  <c r="J73" i="1"/>
  <c r="J40" i="1"/>
  <c r="J86" i="1"/>
  <c r="J78" i="1"/>
  <c r="J80" i="1"/>
  <c r="J58" i="1"/>
  <c r="J63" i="1"/>
  <c r="J61" i="1"/>
  <c r="J88" i="1"/>
  <c r="J89" i="1"/>
  <c r="J67" i="1"/>
  <c r="J64" i="1"/>
  <c r="J81" i="1"/>
  <c r="J77" i="1"/>
  <c r="J71" i="1"/>
  <c r="J85" i="1"/>
  <c r="F87" i="1"/>
  <c r="F94" i="1"/>
  <c r="F95" i="1"/>
  <c r="F70" i="1"/>
  <c r="F59" i="1"/>
  <c r="F69" i="1"/>
  <c r="F68" i="1"/>
  <c r="F91" i="1"/>
  <c r="F90" i="1"/>
  <c r="F111" i="1"/>
  <c r="F93" i="1"/>
  <c r="F66" i="1"/>
  <c r="F65" i="1"/>
  <c r="F43" i="1"/>
  <c r="F74" i="1"/>
  <c r="F73" i="1"/>
  <c r="F76" i="1"/>
  <c r="F75" i="1"/>
  <c r="F40" i="1"/>
  <c r="F86" i="1"/>
  <c r="F78" i="1"/>
  <c r="F80" i="1"/>
  <c r="F58" i="1"/>
  <c r="F63" i="1"/>
  <c r="F61" i="1"/>
  <c r="F88" i="1"/>
  <c r="F89" i="1"/>
  <c r="F37" i="1"/>
  <c r="F79" i="1"/>
  <c r="F67" i="1"/>
  <c r="F64" i="1"/>
  <c r="F81" i="1"/>
  <c r="F77" i="1"/>
  <c r="F71" i="1"/>
  <c r="F85" i="1"/>
  <c r="K79" i="1" l="1"/>
  <c r="K114" i="1" s="1"/>
  <c r="N79" i="1"/>
  <c r="M115" i="1" s="1"/>
  <c r="F49" i="1"/>
  <c r="J75" i="1"/>
  <c r="K37" i="1"/>
  <c r="M43" i="1"/>
  <c r="M51" i="1" s="1"/>
  <c r="J76" i="1"/>
  <c r="J37" i="1"/>
  <c r="J59" i="1"/>
  <c r="J79" i="1"/>
  <c r="J50" i="1"/>
  <c r="J49" i="1"/>
  <c r="J84" i="1"/>
  <c r="F50" i="1"/>
  <c r="F84" i="1"/>
  <c r="F112" i="1" s="1"/>
  <c r="F114" i="1" l="1"/>
  <c r="K51" i="1"/>
  <c r="F51" i="1" l="1"/>
</calcChain>
</file>

<file path=xl/sharedStrings.xml><?xml version="1.0" encoding="utf-8"?>
<sst xmlns="http://schemas.openxmlformats.org/spreadsheetml/2006/main" count="344" uniqueCount="218">
  <si>
    <t>Unit Weight</t>
  </si>
  <si>
    <t>Total Weight</t>
  </si>
  <si>
    <t>W (Inches)</t>
  </si>
  <si>
    <t>H (Inches)</t>
  </si>
  <si>
    <t>Cubic Inches</t>
  </si>
  <si>
    <t>L (Inches)</t>
  </si>
  <si>
    <t>Top Rail 200</t>
  </si>
  <si>
    <t>Top Rail 999</t>
  </si>
  <si>
    <t>PE-135</t>
  </si>
  <si>
    <t>Bottom Rail 100</t>
  </si>
  <si>
    <t>Bottom Rail 200</t>
  </si>
  <si>
    <t>Pickets 42"</t>
  </si>
  <si>
    <t>GVS Top Glass Vinyl</t>
  </si>
  <si>
    <t>GVS Bottom Glass Vinyl</t>
  </si>
  <si>
    <t>SS T Lock</t>
  </si>
  <si>
    <t>Intermediate Post Fitting</t>
  </si>
  <si>
    <t>Base Plate Rubber Gasket</t>
  </si>
  <si>
    <t>Cushion</t>
  </si>
  <si>
    <t>Crate</t>
  </si>
  <si>
    <t>Gate</t>
  </si>
  <si>
    <t>Item</t>
  </si>
  <si>
    <t>Qty Ordered</t>
  </si>
  <si>
    <t>SS T - Lock Hand Swage Fitting</t>
  </si>
  <si>
    <t>Description</t>
  </si>
  <si>
    <t>SS AW 30</t>
  </si>
  <si>
    <t>Top Rail 400</t>
  </si>
  <si>
    <t>CSP 2 OZ</t>
  </si>
  <si>
    <t>CSP 6 OZ</t>
  </si>
  <si>
    <t>Touch Up Paint-Spray Can 6oz</t>
  </si>
  <si>
    <t>Post Extrusion - Unlined</t>
  </si>
  <si>
    <t xml:space="preserve">PE </t>
  </si>
  <si>
    <t>Post Extrusion-Lined</t>
  </si>
  <si>
    <t>Tool- Cable Cutter</t>
  </si>
  <si>
    <t>Tool - Hand Swage</t>
  </si>
  <si>
    <t>22-ST20</t>
  </si>
  <si>
    <t>Top Rail 375 -Square Top Rail</t>
  </si>
  <si>
    <t>Post Base Plate 5x5</t>
  </si>
  <si>
    <t>Post Base Plate 3x5</t>
  </si>
  <si>
    <t>BP Offset</t>
  </si>
  <si>
    <t>Base Plate Off Set</t>
  </si>
  <si>
    <t>BP Rubber Gkt</t>
  </si>
  <si>
    <t>Base Plate Skirt</t>
  </si>
  <si>
    <t>Concrete Anchor</t>
  </si>
  <si>
    <t>CW POW</t>
  </si>
  <si>
    <t>Washer Bolt Head Cover</t>
  </si>
  <si>
    <t>Felco C9</t>
  </si>
  <si>
    <t xml:space="preserve">Gate  </t>
  </si>
  <si>
    <t>Gate Hinges</t>
  </si>
  <si>
    <t>Gate Latch</t>
  </si>
  <si>
    <t>GVS Bot Glass Vnl</t>
  </si>
  <si>
    <t>GVS Top Glass Vnl</t>
  </si>
  <si>
    <t>LedLok-5</t>
  </si>
  <si>
    <t>LedLok-3 5/8</t>
  </si>
  <si>
    <t>Nylon Bolt Caps</t>
  </si>
  <si>
    <t>Bottom Plate for Mid-Span Picket</t>
  </si>
  <si>
    <t>Post Cap-Pyramid</t>
  </si>
  <si>
    <t>Post Cap-Flat</t>
  </si>
  <si>
    <t>Infill - Pocket</t>
  </si>
  <si>
    <t>Infill - Flat</t>
  </si>
  <si>
    <t>Gate Hinges- Set of Two with Fastener Covers</t>
  </si>
  <si>
    <t>Picket Extrusion 5/8 x 5/8 (21' 7")</t>
  </si>
  <si>
    <t>PVI</t>
  </si>
  <si>
    <t>Picket Vinyl Insert</t>
  </si>
  <si>
    <t>Rail Connecting Block 100 - 1"</t>
  </si>
  <si>
    <t>Rail Connecting Block 200 - 1"</t>
  </si>
  <si>
    <t>Rail Connecting Block 100 - 12"</t>
  </si>
  <si>
    <t>Rail Connecting Block 200 - 12"</t>
  </si>
  <si>
    <t xml:space="preserve">Rail Connecting Block Extrusion 100 </t>
  </si>
  <si>
    <t xml:space="preserve">Rail Connecting Block Extrusion 200 </t>
  </si>
  <si>
    <t>SDS Bag 25</t>
  </si>
  <si>
    <t>Screws - TR / BR Bag of 25</t>
  </si>
  <si>
    <t>Splice-Top Rail 12"</t>
  </si>
  <si>
    <t>Splice MF</t>
  </si>
  <si>
    <t>Splice - MF</t>
  </si>
  <si>
    <t>Splice-Internal 90 Corner</t>
  </si>
  <si>
    <t>Screw - #10 X 1 1/2, SS-SMS (Box of 100)</t>
  </si>
  <si>
    <t>Screw, Ledger Lok, 3 5/8"</t>
  </si>
  <si>
    <t>Screw, Ledger Lok, 5"</t>
  </si>
  <si>
    <t>Post Extrusion - 135</t>
  </si>
  <si>
    <t>Picket Spacer Extrusion, Series 100</t>
  </si>
  <si>
    <t>Picket Spacer Extrusion, Series 200</t>
  </si>
  <si>
    <t>End Plate - Top Rail 200 w/ Screws</t>
  </si>
  <si>
    <t>End Plate - Top Rail 375 w/ Screws</t>
  </si>
  <si>
    <t>End Plate - Top Rail 999 w/Screws</t>
  </si>
  <si>
    <t>Fascia Mount Bracket-Intermediate</t>
  </si>
  <si>
    <t>Fascia Mount Bracket-Outside</t>
  </si>
  <si>
    <t>Fascia Mount Bracket-Inside</t>
  </si>
  <si>
    <t>Post Cap-135</t>
  </si>
  <si>
    <t>Pickets 36"</t>
  </si>
  <si>
    <t>Post 36" w/  5x5 Base Plate</t>
  </si>
  <si>
    <t>Post 42" w/  5x5 Base Plate</t>
  </si>
  <si>
    <t>Post 36" w/  3x5 Base Plate</t>
  </si>
  <si>
    <t>Post 42" w/  3x5 Base Plate</t>
  </si>
  <si>
    <t>Screw-Base Plate</t>
  </si>
  <si>
    <t>Picket Spacer</t>
  </si>
  <si>
    <t>SS TBHS</t>
  </si>
  <si>
    <t>SS TBDTHS/MS</t>
  </si>
  <si>
    <t>SS Turnbuckle Hand Swage</t>
  </si>
  <si>
    <t>SS Angled Washer</t>
  </si>
  <si>
    <t>Glass 1/2"</t>
  </si>
  <si>
    <t>Glass 1/4"</t>
  </si>
  <si>
    <t>Total Cubic Inches</t>
  </si>
  <si>
    <t>Max L</t>
  </si>
  <si>
    <t>SS Turn Buckle Deck Toggle Swage Fitting</t>
  </si>
  <si>
    <t>Touch Up Paint-Brush On 2oz</t>
  </si>
  <si>
    <t>45" Fascia Post</t>
  </si>
  <si>
    <t>56" Fascia Post</t>
  </si>
  <si>
    <t>Category</t>
  </si>
  <si>
    <t>Rails</t>
  </si>
  <si>
    <t>Posts</t>
  </si>
  <si>
    <t>Gates</t>
  </si>
  <si>
    <t>Components</t>
  </si>
  <si>
    <t>Fasteners</t>
  </si>
  <si>
    <t>Stainless Steel</t>
  </si>
  <si>
    <t>Hardware</t>
  </si>
  <si>
    <t>Infill</t>
  </si>
  <si>
    <t>Paint</t>
  </si>
  <si>
    <t>Post- 36" with 5" x 5" Base Plate</t>
  </si>
  <si>
    <t>Longest Item</t>
  </si>
  <si>
    <t>Widest Item</t>
  </si>
  <si>
    <t>Box</t>
  </si>
  <si>
    <t>Small Items (12" or less) (Boxable)</t>
  </si>
  <si>
    <t>Palleted Items - Over 12" to 48" - Pallet</t>
  </si>
  <si>
    <t>Pallet</t>
  </si>
  <si>
    <t>SS DTHS</t>
  </si>
  <si>
    <t>SS TBDPHS</t>
  </si>
  <si>
    <t>SS TTAN</t>
  </si>
  <si>
    <t>SS TTW</t>
  </si>
  <si>
    <t>Post Extrusion Series 500</t>
  </si>
  <si>
    <t>Bottom Rail 500</t>
  </si>
  <si>
    <t>TR100</t>
  </si>
  <si>
    <t>Top Rail 100</t>
  </si>
  <si>
    <t>Top Rail 670</t>
  </si>
  <si>
    <t>Top Rail 175A</t>
  </si>
  <si>
    <t>SS TLHS/MS</t>
  </si>
  <si>
    <t>M6 Washer for Swage stud terminal</t>
  </si>
  <si>
    <t>1/8" Hand swage deck toggle, U.S. type, AISI316, Lasering PRO</t>
  </si>
  <si>
    <t>SS 1/8" Hand/Machine swage stud terminal with drop pin, short</t>
  </si>
  <si>
    <t>1/8" Turnbuckle closed body, drop pin and swage stud,UNC thread, U.S. type,  Lasering PRO</t>
  </si>
  <si>
    <t>1/4" x1 /2" Acorn Nut for Swage stud terminal</t>
  </si>
  <si>
    <t>Swage Stud Terminal with Sleeve on End, Hand/MachineSwage, AISI316</t>
  </si>
  <si>
    <t>RCB Screws-Bag of 20</t>
  </si>
  <si>
    <t>Screws - RCB, Drill Point #10 X2" Phillips Pan SS - bag of 20</t>
  </si>
  <si>
    <t>SS Cable, 1/8" - 30 Ft</t>
  </si>
  <si>
    <t>SS Cable, 1/8" - 25 Ft</t>
  </si>
  <si>
    <t>SS Cable, 1/8" - 20 Ft</t>
  </si>
  <si>
    <t>SS Cable, 1/8" - 15 Ft</t>
  </si>
  <si>
    <t>SS Cable, 1/8" - 10 Ft</t>
  </si>
  <si>
    <t>Stainless Steel Cable, 316 x 19, 1/8" - 30 Ft Length</t>
  </si>
  <si>
    <t>Stainless Steel Cable, 316 x 19, 1/8" - 25 Ft Length</t>
  </si>
  <si>
    <t>Stainless Steel Cable, 316 x 19, 1/8" - 20 Ft Length</t>
  </si>
  <si>
    <t>Stainless Steel Cable, 316 x 19, 1/8" - 15 Ft Length</t>
  </si>
  <si>
    <t>Stainless Steel Cable, 316 x 19, 1/8" - 10 Ft Length</t>
  </si>
  <si>
    <t>Max W</t>
  </si>
  <si>
    <t>Max H</t>
  </si>
  <si>
    <t>Tallest Item</t>
  </si>
  <si>
    <t>MAX H</t>
  </si>
  <si>
    <t>Threaded Terminal Hand/Machine Swage Fitting w/ acorn nut, nut and flat washer</t>
  </si>
  <si>
    <t>Bundled Items - 48" - Crate or Bundle</t>
  </si>
  <si>
    <t>Post Extrusion Series 650</t>
  </si>
  <si>
    <t>RCB1</t>
  </si>
  <si>
    <t>RCB2</t>
  </si>
  <si>
    <t>RCBE1</t>
  </si>
  <si>
    <t>RCBE2</t>
  </si>
  <si>
    <t>FI- Blk</t>
  </si>
  <si>
    <t>Pocket Infill- Blk</t>
  </si>
  <si>
    <t>PTE1 - Blk</t>
  </si>
  <si>
    <t>SPE1- Blk</t>
  </si>
  <si>
    <t>SPE2- Blk</t>
  </si>
  <si>
    <t>FP56- Blk</t>
  </si>
  <si>
    <t>PEU- Blk 18 3/4</t>
  </si>
  <si>
    <t>PEU500, Blk</t>
  </si>
  <si>
    <t>PEU650- Blk</t>
  </si>
  <si>
    <t>BR100- Blk</t>
  </si>
  <si>
    <t>BR200- Blk</t>
  </si>
  <si>
    <t>BR500-Blk</t>
  </si>
  <si>
    <t>TR175A  Blk</t>
  </si>
  <si>
    <t>TR200 Blk</t>
  </si>
  <si>
    <t>TR375 Blk</t>
  </si>
  <si>
    <t>TR400 Blk</t>
  </si>
  <si>
    <t>TR670 -Blk</t>
  </si>
  <si>
    <t>TR999 Blk</t>
  </si>
  <si>
    <t>CTG - CL 1/2</t>
  </si>
  <si>
    <t>CTG - CL 1/4</t>
  </si>
  <si>
    <t>PT1-360- Blk</t>
  </si>
  <si>
    <t>PT1-420- Blk</t>
  </si>
  <si>
    <t>FP45- Blk</t>
  </si>
  <si>
    <t>P361- Blk U</t>
  </si>
  <si>
    <t>P3613- Blk</t>
  </si>
  <si>
    <t>P362- Blk U</t>
  </si>
  <si>
    <t>P421- Blk U</t>
  </si>
  <si>
    <t>P4213- Blk</t>
  </si>
  <si>
    <t>RCB1-12"</t>
  </si>
  <si>
    <t>RCB2-12"</t>
  </si>
  <si>
    <t>INT-90°/650 rail</t>
  </si>
  <si>
    <t>Splice Series 200</t>
  </si>
  <si>
    <t>FMPBS 1- Blk</t>
  </si>
  <si>
    <t>FMPBS 2- Blk</t>
  </si>
  <si>
    <t>FMPBS3- Blk</t>
  </si>
  <si>
    <t>IPF-  POW Blk</t>
  </si>
  <si>
    <t>BPS-BLK</t>
  </si>
  <si>
    <t>PBP 1-Mil</t>
  </si>
  <si>
    <t>200EP POW Blk</t>
  </si>
  <si>
    <t>375 EP - Mil</t>
  </si>
  <si>
    <t>PC1-135°-Mil</t>
  </si>
  <si>
    <t>999EP Blk</t>
  </si>
  <si>
    <t>PC1- POW Blk</t>
  </si>
  <si>
    <t>PC2-Mil</t>
  </si>
  <si>
    <t>BP- 3x5 Blk</t>
  </si>
  <si>
    <t>BP-6SC Blk</t>
  </si>
  <si>
    <t>SS W805X100 - Blk</t>
  </si>
  <si>
    <t>NC- Blk</t>
  </si>
  <si>
    <t>SP41- Blk</t>
  </si>
  <si>
    <t>SP42- Blk</t>
  </si>
  <si>
    <t>SS DPMS Short</t>
  </si>
  <si>
    <t>SS DPHS</t>
  </si>
  <si>
    <t>SS TTHS</t>
  </si>
  <si>
    <t>P422- Blk 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</si>
</sst>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.5"/>
      <color theme="1"/>
      <name val="Segoe UI"/>
      <family val="2"/>
    </font>
    <font>
      <sz val="11"/>
      <name val="Calibri"/>
      <family val="2"/>
      <scheme val="minor"/>
    </font>
    <font>
      <sz val="8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wrapText="1"/>
    </xf>
    <xf numFmtId="0" fontId="0" fillId="4" borderId="0" xfId="0" applyFill="1"/>
    <xf numFmtId="0" fontId="1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/>
    <xf numFmtId="0" fontId="1" fillId="0" borderId="1" xfId="0" applyFont="1" applyBorder="1" applyAlignment="1">
      <alignment wrapText="1"/>
    </xf>
    <xf numFmtId="0" fontId="0" fillId="3" borderId="0" xfId="0" applyFill="1"/>
    <xf numFmtId="0" fontId="1" fillId="0" borderId="0" xfId="0" applyFont="1" applyAlignment="1">
      <alignment horizontal="center" wrapText="1"/>
    </xf>
    <xf numFmtId="43" fontId="0" fillId="0" borderId="0" xfId="2" applyFont="1" applyAlignment="1">
      <alignment wrapText="1"/>
    </xf>
    <xf numFmtId="43" fontId="0" fillId="3" borderId="0" xfId="2" applyFont="1" applyFill="1" applyAlignment="1">
      <alignment wrapText="1"/>
    </xf>
    <xf numFmtId="43" fontId="0" fillId="2" borderId="0" xfId="2" applyFont="1" applyFill="1" applyAlignment="1">
      <alignment wrapText="1"/>
    </xf>
    <xf numFmtId="164" fontId="0" fillId="0" borderId="0" xfId="2" applyNumberFormat="1" applyFont="1" applyAlignment="1">
      <alignment wrapText="1"/>
    </xf>
    <xf numFmtId="164" fontId="0" fillId="3" borderId="0" xfId="2" applyNumberFormat="1" applyFont="1" applyFill="1" applyAlignment="1">
      <alignment wrapText="1"/>
    </xf>
    <xf numFmtId="164" fontId="0" fillId="2" borderId="0" xfId="2" applyNumberFormat="1" applyFont="1" applyFill="1" applyAlignment="1">
      <alignment wrapText="1"/>
    </xf>
    <xf numFmtId="164" fontId="0" fillId="4" borderId="0" xfId="2" applyNumberFormat="1" applyFont="1" applyFill="1" applyAlignment="1">
      <alignment wrapText="1"/>
    </xf>
    <xf numFmtId="43" fontId="0" fillId="4" borderId="0" xfId="2" applyFont="1" applyFill="1" applyAlignment="1">
      <alignment wrapText="1"/>
    </xf>
    <xf numFmtId="43" fontId="1" fillId="3" borderId="0" xfId="2" applyFont="1" applyFill="1" applyAlignment="1">
      <alignment horizontal="center" wrapText="1"/>
    </xf>
    <xf numFmtId="43" fontId="0" fillId="0" borderId="1" xfId="2" applyFont="1" applyBorder="1" applyAlignment="1">
      <alignment wrapText="1"/>
    </xf>
    <xf numFmtId="164" fontId="1" fillId="3" borderId="0" xfId="2" applyNumberFormat="1" applyFont="1" applyFill="1" applyAlignment="1">
      <alignment horizontal="center" wrapText="1"/>
    </xf>
    <xf numFmtId="164" fontId="0" fillId="0" borderId="1" xfId="2" applyNumberFormat="1" applyFont="1" applyBorder="1" applyAlignment="1">
      <alignment wrapText="1"/>
    </xf>
    <xf numFmtId="0" fontId="4" fillId="0" borderId="0" xfId="0" applyFont="1"/>
    <xf numFmtId="165" fontId="1" fillId="4" borderId="0" xfId="2" applyNumberFormat="1" applyFont="1" applyFill="1" applyAlignment="1">
      <alignment horizontal="center" wrapText="1"/>
    </xf>
    <xf numFmtId="165" fontId="0" fillId="0" borderId="0" xfId="2" applyNumberFormat="1" applyFont="1"/>
    <xf numFmtId="165" fontId="0" fillId="0" borderId="1" xfId="2" applyNumberFormat="1" applyFont="1" applyBorder="1"/>
    <xf numFmtId="43" fontId="0" fillId="0" borderId="0" xfId="0" applyNumberFormat="1"/>
    <xf numFmtId="165" fontId="1" fillId="0" borderId="0" xfId="2" applyNumberFormat="1" applyFont="1" applyAlignment="1">
      <alignment horizontal="center" wrapText="1"/>
    </xf>
    <xf numFmtId="9" fontId="0" fillId="2" borderId="0" xfId="3" applyFont="1" applyFill="1"/>
    <xf numFmtId="0" fontId="5" fillId="0" borderId="0" xfId="0" applyFont="1" applyFill="1" applyAlignment="1">
      <alignment vertical="center"/>
    </xf>
    <xf numFmtId="0" fontId="0" fillId="0" borderId="0" xfId="0" applyFill="1"/>
    <xf numFmtId="164" fontId="0" fillId="0" borderId="0" xfId="2" applyNumberFormat="1" applyFont="1" applyFill="1" applyAlignment="1">
      <alignment wrapText="1"/>
    </xf>
    <xf numFmtId="0" fontId="6" fillId="0" borderId="0" xfId="0" applyFont="1" applyFill="1" applyAlignment="1">
      <alignment horizontal="left"/>
    </xf>
    <xf numFmtId="0" fontId="4" fillId="0" borderId="2" xfId="0" applyFont="1" applyBorder="1"/>
    <xf numFmtId="0" fontId="4" fillId="0" borderId="4" xfId="0" applyFont="1" applyBorder="1"/>
    <xf numFmtId="0" fontId="0" fillId="0" borderId="0" xfId="0"/>
    <xf numFmtId="49" fontId="7" fillId="0" borderId="0" xfId="0" applyNumberFormat="1" applyFont="1"/>
    <xf numFmtId="0" fontId="0" fillId="0" borderId="0" xfId="0" applyBorder="1" applyAlignment="1">
      <alignment horizontal="left"/>
    </xf>
    <xf numFmtId="0" fontId="0" fillId="0" borderId="0" xfId="0" applyBorder="1"/>
    <xf numFmtId="164" fontId="0" fillId="0" borderId="0" xfId="2" applyNumberFormat="1" applyFont="1" applyBorder="1" applyAlignment="1">
      <alignment wrapText="1"/>
    </xf>
    <xf numFmtId="165" fontId="0" fillId="0" borderId="0" xfId="2" applyNumberFormat="1" applyFont="1" applyBorder="1"/>
    <xf numFmtId="43" fontId="0" fillId="0" borderId="0" xfId="2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4" fillId="0" borderId="6" xfId="0" applyFont="1" applyBorder="1"/>
    <xf numFmtId="2" fontId="4" fillId="0" borderId="3" xfId="0" applyNumberFormat="1" applyFont="1" applyFill="1" applyBorder="1" applyAlignment="1">
      <alignment horizontal="right" vertical="center"/>
    </xf>
    <xf numFmtId="2" fontId="4" fillId="0" borderId="7" xfId="0" applyNumberFormat="1" applyFont="1" applyFill="1" applyBorder="1" applyAlignment="1">
      <alignment horizontal="right" vertical="center"/>
    </xf>
    <xf numFmtId="2" fontId="4" fillId="0" borderId="5" xfId="0" applyNumberFormat="1" applyFont="1" applyFill="1" applyBorder="1" applyAlignment="1">
      <alignment horizontal="right" vertical="center"/>
    </xf>
    <xf numFmtId="2" fontId="4" fillId="0" borderId="3" xfId="0" applyNumberFormat="1" applyFont="1" applyFill="1" applyBorder="1" applyAlignment="1">
      <alignment vertical="center"/>
    </xf>
    <xf numFmtId="2" fontId="4" fillId="0" borderId="7" xfId="0" applyNumberFormat="1" applyFont="1" applyFill="1" applyBorder="1" applyAlignment="1">
      <alignment vertical="center"/>
    </xf>
    <xf numFmtId="2" fontId="4" fillId="0" borderId="5" xfId="0" applyNumberFormat="1" applyFont="1" applyFill="1" applyBorder="1" applyAlignment="1">
      <alignment vertic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118"/>
  <sheetViews>
    <sheetView tabSelected="1" topLeftCell="A16" workbookViewId="0">
      <selection activeCell="C47" sqref="C47"/>
    </sheetView>
  </sheetViews>
  <sheetFormatPr defaultRowHeight="14.6" x14ac:dyDescent="0.4"/>
  <cols>
    <col min="1" max="1" width="14" bestFit="1" customWidth="1"/>
    <col min="2" max="2" width="19.84375" style="7" bestFit="1" customWidth="1"/>
    <col min="3" max="3" width="83.3046875" bestFit="1" customWidth="1"/>
    <col min="4" max="4" width="11" bestFit="1" customWidth="1"/>
    <col min="5" max="5" width="9.3828125" style="16" bestFit="1" customWidth="1"/>
    <col min="6" max="6" width="10" style="1" bestFit="1" customWidth="1"/>
    <col min="7" max="7" width="9.3828125" style="13" bestFit="1" customWidth="1"/>
    <col min="8" max="8" width="10.3046875" style="13" bestFit="1" customWidth="1"/>
    <col min="9" max="9" width="11" style="13" bestFit="1" customWidth="1"/>
    <col min="10" max="10" width="10" style="1" bestFit="1" customWidth="1"/>
    <col min="11" max="11" width="10.53515625" style="27" bestFit="1" customWidth="1"/>
    <col min="12" max="12" width="12.3828125" bestFit="1" customWidth="1"/>
    <col min="13" max="14" width="9.53515625" bestFit="1" customWidth="1"/>
    <col min="15" max="15" width="10.53515625" style="27" bestFit="1" customWidth="1"/>
    <col min="16" max="16" width="9.53515625" bestFit="1" customWidth="1"/>
  </cols>
  <sheetData>
    <row r="1" spans="1:16" x14ac:dyDescent="0.4">
      <c r="A1" s="55" t="s">
        <v>158</v>
      </c>
      <c r="B1" s="55"/>
      <c r="C1" s="55"/>
      <c r="D1" s="55"/>
      <c r="E1" s="55"/>
      <c r="F1" s="55"/>
      <c r="G1" s="55"/>
      <c r="H1" s="55"/>
      <c r="I1" s="55"/>
      <c r="J1" s="55"/>
      <c r="K1" s="55"/>
    </row>
    <row r="2" spans="1:16" ht="29.15" x14ac:dyDescent="0.4">
      <c r="A2" t="s">
        <v>107</v>
      </c>
      <c r="B2" s="6" t="s">
        <v>20</v>
      </c>
      <c r="C2" s="3" t="s">
        <v>23</v>
      </c>
      <c r="D2" s="4" t="s">
        <v>21</v>
      </c>
      <c r="E2" s="23" t="s">
        <v>0</v>
      </c>
      <c r="F2" s="4" t="s">
        <v>1</v>
      </c>
      <c r="G2" s="21" t="s">
        <v>2</v>
      </c>
      <c r="H2" s="21" t="s">
        <v>3</v>
      </c>
      <c r="I2" s="21" t="s">
        <v>5</v>
      </c>
      <c r="J2" s="4" t="s">
        <v>4</v>
      </c>
      <c r="K2" s="26" t="s">
        <v>101</v>
      </c>
      <c r="M2" s="12" t="s">
        <v>102</v>
      </c>
      <c r="N2" s="12" t="s">
        <v>153</v>
      </c>
      <c r="O2" s="30" t="s">
        <v>154</v>
      </c>
      <c r="P2" s="12"/>
    </row>
    <row r="3" spans="1:16" x14ac:dyDescent="0.4">
      <c r="A3" t="s">
        <v>111</v>
      </c>
      <c r="B3" s="7" t="s">
        <v>49</v>
      </c>
      <c r="C3" t="s">
        <v>13</v>
      </c>
      <c r="D3" s="11"/>
      <c r="E3" s="16">
        <v>0.5</v>
      </c>
      <c r="F3" s="13">
        <f t="shared" ref="F3:F29" si="0">E3*D3</f>
        <v>0</v>
      </c>
      <c r="G3" s="13">
        <v>1</v>
      </c>
      <c r="H3" s="13">
        <v>0.66700000000000004</v>
      </c>
      <c r="I3" s="13">
        <v>120</v>
      </c>
      <c r="J3" s="13">
        <f t="shared" ref="J3:J31" si="1">G3*H3*I3</f>
        <v>80.040000000000006</v>
      </c>
      <c r="K3" s="27">
        <f t="shared" ref="K3:K31" si="2">G3*H3*I3*D3</f>
        <v>0</v>
      </c>
      <c r="M3">
        <f t="shared" ref="M3:M13" si="3">IF(D3&gt;0,I3,0)</f>
        <v>0</v>
      </c>
      <c r="N3" s="38">
        <f t="shared" ref="N3:N29" si="4">IF(D3&gt;0,G3,0)</f>
        <v>0</v>
      </c>
      <c r="O3" s="38">
        <f t="shared" ref="O3:O29" si="5">IF(D3&gt;0,H3,0)</f>
        <v>0</v>
      </c>
    </row>
    <row r="4" spans="1:16" x14ac:dyDescent="0.4">
      <c r="A4" t="s">
        <v>111</v>
      </c>
      <c r="B4" s="7" t="s">
        <v>50</v>
      </c>
      <c r="C4" t="s">
        <v>12</v>
      </c>
      <c r="D4" s="11"/>
      <c r="E4" s="16">
        <v>0.5</v>
      </c>
      <c r="F4" s="13">
        <f t="shared" si="0"/>
        <v>0</v>
      </c>
      <c r="G4" s="13">
        <v>1</v>
      </c>
      <c r="H4" s="13">
        <v>1.2</v>
      </c>
      <c r="I4" s="13">
        <f>12*10</f>
        <v>120</v>
      </c>
      <c r="J4" s="13">
        <f t="shared" si="1"/>
        <v>144</v>
      </c>
      <c r="K4" s="27">
        <f t="shared" si="2"/>
        <v>0</v>
      </c>
      <c r="M4">
        <f t="shared" si="3"/>
        <v>0</v>
      </c>
      <c r="N4" s="38">
        <f t="shared" si="4"/>
        <v>0</v>
      </c>
      <c r="O4" s="38">
        <f t="shared" si="5"/>
        <v>0</v>
      </c>
    </row>
    <row r="5" spans="1:16" x14ac:dyDescent="0.4">
      <c r="A5" t="s">
        <v>111</v>
      </c>
      <c r="B5" t="s">
        <v>162</v>
      </c>
      <c r="C5" t="s">
        <v>67</v>
      </c>
      <c r="D5" s="11"/>
      <c r="E5" s="16">
        <v>24</v>
      </c>
      <c r="F5" s="13">
        <f t="shared" si="0"/>
        <v>0</v>
      </c>
      <c r="G5" s="13">
        <v>1</v>
      </c>
      <c r="H5" s="13">
        <v>1</v>
      </c>
      <c r="I5" s="13">
        <v>120</v>
      </c>
      <c r="J5" s="13">
        <f t="shared" si="1"/>
        <v>120</v>
      </c>
      <c r="K5" s="27">
        <f t="shared" si="2"/>
        <v>0</v>
      </c>
      <c r="M5">
        <f t="shared" si="3"/>
        <v>0</v>
      </c>
      <c r="N5" s="38">
        <f t="shared" si="4"/>
        <v>0</v>
      </c>
      <c r="O5" s="38">
        <f t="shared" si="5"/>
        <v>0</v>
      </c>
    </row>
    <row r="6" spans="1:16" x14ac:dyDescent="0.4">
      <c r="A6" t="s">
        <v>111</v>
      </c>
      <c r="B6" t="s">
        <v>163</v>
      </c>
      <c r="C6" t="s">
        <v>68</v>
      </c>
      <c r="D6" s="11"/>
      <c r="E6" s="16">
        <v>24</v>
      </c>
      <c r="F6" s="13">
        <f t="shared" si="0"/>
        <v>0</v>
      </c>
      <c r="G6" s="13">
        <v>1</v>
      </c>
      <c r="H6" s="13">
        <v>1</v>
      </c>
      <c r="I6" s="13">
        <v>120</v>
      </c>
      <c r="J6" s="13">
        <f t="shared" si="1"/>
        <v>120</v>
      </c>
      <c r="K6" s="27">
        <f t="shared" si="2"/>
        <v>0</v>
      </c>
      <c r="M6">
        <f t="shared" si="3"/>
        <v>0</v>
      </c>
      <c r="N6" s="38">
        <f t="shared" si="4"/>
        <v>0</v>
      </c>
      <c r="O6" s="38">
        <f t="shared" si="5"/>
        <v>0</v>
      </c>
    </row>
    <row r="7" spans="1:16" x14ac:dyDescent="0.4">
      <c r="A7" t="s">
        <v>111</v>
      </c>
      <c r="B7" s="7" t="s">
        <v>72</v>
      </c>
      <c r="C7" t="s">
        <v>73</v>
      </c>
      <c r="D7" s="11"/>
      <c r="E7" s="16">
        <v>5.0999999999999996</v>
      </c>
      <c r="F7" s="13">
        <f t="shared" si="0"/>
        <v>0</v>
      </c>
      <c r="G7" s="13">
        <v>1</v>
      </c>
      <c r="H7" s="13">
        <v>0.125</v>
      </c>
      <c r="I7" s="13">
        <v>120</v>
      </c>
      <c r="J7" s="13">
        <f t="shared" si="1"/>
        <v>15</v>
      </c>
      <c r="K7" s="27">
        <f t="shared" si="2"/>
        <v>0</v>
      </c>
      <c r="M7">
        <f t="shared" si="3"/>
        <v>0</v>
      </c>
      <c r="N7" s="38">
        <f t="shared" si="4"/>
        <v>0</v>
      </c>
      <c r="O7" s="38">
        <f t="shared" si="5"/>
        <v>0</v>
      </c>
    </row>
    <row r="8" spans="1:16" x14ac:dyDescent="0.4">
      <c r="A8" t="s">
        <v>115</v>
      </c>
      <c r="B8" s="7" t="s">
        <v>164</v>
      </c>
      <c r="C8" t="s">
        <v>58</v>
      </c>
      <c r="D8" s="11"/>
      <c r="E8" s="16">
        <v>5.08</v>
      </c>
      <c r="F8" s="13">
        <f t="shared" si="0"/>
        <v>0</v>
      </c>
      <c r="G8" s="13">
        <v>1</v>
      </c>
      <c r="H8" s="13">
        <v>0.25</v>
      </c>
      <c r="I8" s="13">
        <v>240</v>
      </c>
      <c r="J8" s="13">
        <f t="shared" si="1"/>
        <v>60</v>
      </c>
      <c r="K8" s="27">
        <f t="shared" si="2"/>
        <v>0</v>
      </c>
      <c r="M8">
        <f t="shared" si="3"/>
        <v>0</v>
      </c>
      <c r="N8" s="38">
        <f t="shared" si="4"/>
        <v>0</v>
      </c>
      <c r="O8" s="38">
        <f t="shared" si="5"/>
        <v>0</v>
      </c>
    </row>
    <row r="9" spans="1:16" x14ac:dyDescent="0.4">
      <c r="A9" t="s">
        <v>115</v>
      </c>
      <c r="B9" t="s">
        <v>165</v>
      </c>
      <c r="C9" t="s">
        <v>57</v>
      </c>
      <c r="D9" s="11"/>
      <c r="E9" s="16">
        <v>8</v>
      </c>
      <c r="F9" s="13">
        <f t="shared" si="0"/>
        <v>0</v>
      </c>
      <c r="G9" s="13">
        <v>1</v>
      </c>
      <c r="H9" s="13">
        <v>2</v>
      </c>
      <c r="I9" s="13">
        <f>12*20</f>
        <v>240</v>
      </c>
      <c r="J9" s="13">
        <f t="shared" si="1"/>
        <v>480</v>
      </c>
      <c r="K9" s="27">
        <f t="shared" si="2"/>
        <v>0</v>
      </c>
      <c r="M9">
        <f t="shared" si="3"/>
        <v>0</v>
      </c>
      <c r="N9" s="38">
        <f t="shared" si="4"/>
        <v>0</v>
      </c>
      <c r="O9" s="38">
        <f t="shared" si="5"/>
        <v>0</v>
      </c>
    </row>
    <row r="10" spans="1:16" x14ac:dyDescent="0.4">
      <c r="A10" t="s">
        <v>115</v>
      </c>
      <c r="B10" s="7" t="s">
        <v>166</v>
      </c>
      <c r="C10" t="s">
        <v>60</v>
      </c>
      <c r="D10" s="11"/>
      <c r="E10" s="16">
        <v>2.98</v>
      </c>
      <c r="F10" s="13">
        <f t="shared" si="0"/>
        <v>0</v>
      </c>
      <c r="G10" s="13">
        <v>0.67500000000000004</v>
      </c>
      <c r="H10" s="13">
        <v>0.67500000000000004</v>
      </c>
      <c r="I10" s="13">
        <v>259</v>
      </c>
      <c r="J10" s="13">
        <f t="shared" si="1"/>
        <v>118.00687500000001</v>
      </c>
      <c r="K10" s="27">
        <f t="shared" si="2"/>
        <v>0</v>
      </c>
      <c r="M10">
        <f t="shared" si="3"/>
        <v>0</v>
      </c>
      <c r="N10" s="38">
        <f t="shared" si="4"/>
        <v>0</v>
      </c>
      <c r="O10" s="38">
        <f t="shared" si="5"/>
        <v>0</v>
      </c>
    </row>
    <row r="11" spans="1:16" x14ac:dyDescent="0.4">
      <c r="A11" t="s">
        <v>115</v>
      </c>
      <c r="B11" s="7" t="s">
        <v>61</v>
      </c>
      <c r="C11" t="s">
        <v>62</v>
      </c>
      <c r="D11" s="11"/>
      <c r="E11" s="16">
        <v>1.905</v>
      </c>
      <c r="F11" s="13">
        <f t="shared" si="0"/>
        <v>0</v>
      </c>
      <c r="G11" s="13">
        <v>1</v>
      </c>
      <c r="H11" s="13">
        <v>1</v>
      </c>
      <c r="I11" s="13">
        <v>120</v>
      </c>
      <c r="J11" s="13">
        <f t="shared" si="1"/>
        <v>120</v>
      </c>
      <c r="K11" s="27">
        <f t="shared" si="2"/>
        <v>0</v>
      </c>
      <c r="M11">
        <f t="shared" si="3"/>
        <v>0</v>
      </c>
      <c r="N11" s="38">
        <f t="shared" si="4"/>
        <v>0</v>
      </c>
      <c r="O11" s="38">
        <f t="shared" si="5"/>
        <v>0</v>
      </c>
    </row>
    <row r="12" spans="1:16" x14ac:dyDescent="0.4">
      <c r="A12" t="s">
        <v>115</v>
      </c>
      <c r="B12" t="s">
        <v>167</v>
      </c>
      <c r="C12" t="s">
        <v>79</v>
      </c>
      <c r="D12" s="11"/>
      <c r="E12" s="16">
        <v>1.3</v>
      </c>
      <c r="F12" s="13">
        <f t="shared" si="0"/>
        <v>0</v>
      </c>
      <c r="G12" s="13">
        <v>4</v>
      </c>
      <c r="H12" s="13">
        <v>0.25</v>
      </c>
      <c r="I12" s="13">
        <f>20*12</f>
        <v>240</v>
      </c>
      <c r="J12" s="13">
        <f t="shared" si="1"/>
        <v>240</v>
      </c>
      <c r="K12" s="27">
        <f t="shared" si="2"/>
        <v>0</v>
      </c>
      <c r="M12">
        <f t="shared" si="3"/>
        <v>0</v>
      </c>
      <c r="N12" s="38">
        <f t="shared" si="4"/>
        <v>0</v>
      </c>
      <c r="O12" s="38">
        <f t="shared" si="5"/>
        <v>0</v>
      </c>
    </row>
    <row r="13" spans="1:16" x14ac:dyDescent="0.4">
      <c r="A13" t="s">
        <v>115</v>
      </c>
      <c r="B13" t="s">
        <v>168</v>
      </c>
      <c r="C13" t="s">
        <v>80</v>
      </c>
      <c r="D13" s="11"/>
      <c r="E13" s="16">
        <v>1.3</v>
      </c>
      <c r="F13" s="13">
        <f t="shared" si="0"/>
        <v>0</v>
      </c>
      <c r="G13" s="13">
        <v>4</v>
      </c>
      <c r="H13" s="13">
        <v>0.25</v>
      </c>
      <c r="I13" s="13">
        <v>240</v>
      </c>
      <c r="J13" s="13">
        <f t="shared" si="1"/>
        <v>240</v>
      </c>
      <c r="K13" s="27">
        <f t="shared" si="2"/>
        <v>0</v>
      </c>
      <c r="M13">
        <f t="shared" si="3"/>
        <v>0</v>
      </c>
      <c r="N13" s="38">
        <f t="shared" si="4"/>
        <v>0</v>
      </c>
      <c r="O13" s="38">
        <f t="shared" si="5"/>
        <v>0</v>
      </c>
    </row>
    <row r="14" spans="1:16" x14ac:dyDescent="0.4">
      <c r="A14" t="s">
        <v>109</v>
      </c>
      <c r="B14" s="35" t="s">
        <v>169</v>
      </c>
      <c r="C14" t="s">
        <v>106</v>
      </c>
      <c r="D14" s="11"/>
      <c r="E14" s="34">
        <v>7.9020000000000001</v>
      </c>
      <c r="F14" s="13">
        <f t="shared" si="0"/>
        <v>0</v>
      </c>
      <c r="G14" s="13">
        <v>2.375</v>
      </c>
      <c r="H14" s="13">
        <v>2.375</v>
      </c>
      <c r="I14" s="13">
        <v>56</v>
      </c>
      <c r="J14" s="13">
        <f t="shared" si="1"/>
        <v>315.875</v>
      </c>
      <c r="K14" s="27">
        <f t="shared" si="2"/>
        <v>0</v>
      </c>
      <c r="M14">
        <f t="shared" ref="M14" si="6">IF(D14&gt;0,I14,0)</f>
        <v>0</v>
      </c>
      <c r="N14" s="38">
        <f t="shared" si="4"/>
        <v>0</v>
      </c>
      <c r="O14" s="38">
        <f t="shared" si="5"/>
        <v>0</v>
      </c>
    </row>
    <row r="15" spans="1:16" x14ac:dyDescent="0.4">
      <c r="A15" t="s">
        <v>109</v>
      </c>
      <c r="B15" s="7" t="s">
        <v>30</v>
      </c>
      <c r="C15" t="s">
        <v>31</v>
      </c>
      <c r="D15" s="11"/>
      <c r="E15" s="16">
        <v>24.86</v>
      </c>
      <c r="F15" s="13">
        <f t="shared" si="0"/>
        <v>0</v>
      </c>
      <c r="G15" s="13">
        <v>2.375</v>
      </c>
      <c r="H15" s="13">
        <v>2.375</v>
      </c>
      <c r="I15" s="13">
        <v>262</v>
      </c>
      <c r="J15" s="13">
        <f t="shared" si="1"/>
        <v>1477.84375</v>
      </c>
      <c r="K15" s="27">
        <f t="shared" si="2"/>
        <v>0</v>
      </c>
      <c r="M15">
        <f>IF(D15&gt;0,I15,0)</f>
        <v>0</v>
      </c>
      <c r="N15" s="38">
        <f t="shared" si="4"/>
        <v>0</v>
      </c>
      <c r="O15" s="38">
        <f t="shared" si="5"/>
        <v>0</v>
      </c>
    </row>
    <row r="16" spans="1:16" x14ac:dyDescent="0.4">
      <c r="A16" t="s">
        <v>109</v>
      </c>
      <c r="B16" t="s">
        <v>8</v>
      </c>
      <c r="C16" t="s">
        <v>78</v>
      </c>
      <c r="D16" s="11"/>
      <c r="E16" s="16">
        <v>36.299999999999997</v>
      </c>
      <c r="F16" s="13">
        <f t="shared" si="0"/>
        <v>0</v>
      </c>
      <c r="G16" s="13">
        <v>3</v>
      </c>
      <c r="H16" s="13">
        <v>4</v>
      </c>
      <c r="I16" s="13">
        <v>225</v>
      </c>
      <c r="J16" s="13">
        <f t="shared" si="1"/>
        <v>2700</v>
      </c>
      <c r="K16" s="27">
        <f t="shared" si="2"/>
        <v>0</v>
      </c>
      <c r="M16">
        <f>IF(D16&gt;0,I16,0)</f>
        <v>0</v>
      </c>
      <c r="N16" s="38">
        <f t="shared" si="4"/>
        <v>0</v>
      </c>
      <c r="O16" s="38">
        <f t="shared" si="5"/>
        <v>0</v>
      </c>
    </row>
    <row r="17" spans="1:16" x14ac:dyDescent="0.4">
      <c r="A17" t="s">
        <v>109</v>
      </c>
      <c r="B17" s="7" t="s">
        <v>170</v>
      </c>
      <c r="C17" t="s">
        <v>29</v>
      </c>
      <c r="D17" s="11"/>
      <c r="E17" s="16">
        <v>24.86</v>
      </c>
      <c r="F17" s="13">
        <f t="shared" si="0"/>
        <v>0</v>
      </c>
      <c r="G17" s="13">
        <v>2.375</v>
      </c>
      <c r="H17" s="13">
        <v>2.375</v>
      </c>
      <c r="I17" s="13">
        <f>18.75*12</f>
        <v>225</v>
      </c>
      <c r="J17" s="13">
        <f t="shared" si="1"/>
        <v>1269.140625</v>
      </c>
      <c r="K17" s="27">
        <f t="shared" si="2"/>
        <v>0</v>
      </c>
      <c r="M17">
        <f>IF(D17&gt;0,I17,0)</f>
        <v>0</v>
      </c>
      <c r="N17" s="38">
        <f t="shared" si="4"/>
        <v>0</v>
      </c>
      <c r="O17" s="38">
        <f t="shared" si="5"/>
        <v>0</v>
      </c>
    </row>
    <row r="18" spans="1:16" s="38" customFormat="1" x14ac:dyDescent="0.4">
      <c r="A18" s="38" t="s">
        <v>109</v>
      </c>
      <c r="B18" s="7" t="s">
        <v>171</v>
      </c>
      <c r="C18" s="38" t="s">
        <v>128</v>
      </c>
      <c r="D18" s="11"/>
      <c r="E18" s="16">
        <v>39.799999999999997</v>
      </c>
      <c r="F18" s="13">
        <f t="shared" si="0"/>
        <v>0</v>
      </c>
      <c r="G18" s="13">
        <v>2.38</v>
      </c>
      <c r="H18" s="13">
        <v>2.38</v>
      </c>
      <c r="I18" s="13">
        <f>18.5*12</f>
        <v>222</v>
      </c>
      <c r="J18" s="13">
        <f t="shared" si="1"/>
        <v>1257.4967999999999</v>
      </c>
      <c r="K18" s="27">
        <f t="shared" si="2"/>
        <v>0</v>
      </c>
      <c r="M18" s="38">
        <f t="shared" ref="M18" si="7">IF(D18&gt;0,I18,0)</f>
        <v>0</v>
      </c>
      <c r="N18" s="38">
        <f t="shared" si="4"/>
        <v>0</v>
      </c>
      <c r="O18" s="38">
        <f t="shared" si="5"/>
        <v>0</v>
      </c>
    </row>
    <row r="19" spans="1:16" s="38" customFormat="1" x14ac:dyDescent="0.4">
      <c r="A19" s="38" t="s">
        <v>109</v>
      </c>
      <c r="B19" s="7" t="s">
        <v>172</v>
      </c>
      <c r="C19" s="38" t="s">
        <v>159</v>
      </c>
      <c r="D19" s="11"/>
      <c r="E19" s="16">
        <v>18.48</v>
      </c>
      <c r="F19" s="13">
        <f t="shared" si="0"/>
        <v>0</v>
      </c>
      <c r="G19" s="13">
        <v>2.38</v>
      </c>
      <c r="H19" s="13">
        <v>2.38</v>
      </c>
      <c r="I19" s="13">
        <f>16.5*12</f>
        <v>198</v>
      </c>
      <c r="J19" s="13">
        <f t="shared" si="1"/>
        <v>1121.5511999999999</v>
      </c>
      <c r="K19" s="27">
        <f t="shared" si="2"/>
        <v>0</v>
      </c>
      <c r="M19" s="38">
        <f t="shared" ref="M19" si="8">IF(D19&gt;0,I19,0)</f>
        <v>0</v>
      </c>
      <c r="N19" s="38">
        <f t="shared" si="4"/>
        <v>0</v>
      </c>
      <c r="O19" s="38">
        <f t="shared" si="5"/>
        <v>0</v>
      </c>
    </row>
    <row r="20" spans="1:16" x14ac:dyDescent="0.4">
      <c r="A20" t="s">
        <v>108</v>
      </c>
      <c r="B20" s="7" t="s">
        <v>173</v>
      </c>
      <c r="C20" t="s">
        <v>9</v>
      </c>
      <c r="D20" s="11"/>
      <c r="E20" s="16">
        <v>7.8</v>
      </c>
      <c r="F20" s="13">
        <f t="shared" si="0"/>
        <v>0</v>
      </c>
      <c r="G20" s="13">
        <v>3</v>
      </c>
      <c r="H20" s="13">
        <v>3</v>
      </c>
      <c r="I20" s="13">
        <f>21*12</f>
        <v>252</v>
      </c>
      <c r="J20" s="13">
        <f t="shared" si="1"/>
        <v>2268</v>
      </c>
      <c r="K20" s="27">
        <f t="shared" si="2"/>
        <v>0</v>
      </c>
      <c r="M20">
        <f>IF(D20&gt;0,I20,0)</f>
        <v>0</v>
      </c>
      <c r="N20" s="38">
        <f t="shared" si="4"/>
        <v>0</v>
      </c>
      <c r="O20" s="38">
        <f t="shared" si="5"/>
        <v>0</v>
      </c>
    </row>
    <row r="21" spans="1:16" x14ac:dyDescent="0.4">
      <c r="A21" t="s">
        <v>108</v>
      </c>
      <c r="B21" s="7" t="s">
        <v>174</v>
      </c>
      <c r="C21" t="s">
        <v>10</v>
      </c>
      <c r="D21" s="11"/>
      <c r="E21" s="16">
        <v>14.39</v>
      </c>
      <c r="F21" s="13">
        <f t="shared" si="0"/>
        <v>0</v>
      </c>
      <c r="G21" s="13">
        <v>3</v>
      </c>
      <c r="H21" s="13">
        <v>3</v>
      </c>
      <c r="I21" s="13">
        <f>21*12</f>
        <v>252</v>
      </c>
      <c r="J21" s="13">
        <f t="shared" si="1"/>
        <v>2268</v>
      </c>
      <c r="K21" s="27">
        <f t="shared" si="2"/>
        <v>0</v>
      </c>
      <c r="M21">
        <f>IF(D21&gt;0,I21,0)</f>
        <v>0</v>
      </c>
      <c r="N21" s="38">
        <f t="shared" si="4"/>
        <v>0</v>
      </c>
      <c r="O21" s="38">
        <f t="shared" si="5"/>
        <v>0</v>
      </c>
    </row>
    <row r="22" spans="1:16" s="38" customFormat="1" x14ac:dyDescent="0.4">
      <c r="A22" s="38" t="s">
        <v>108</v>
      </c>
      <c r="B22" s="7" t="s">
        <v>175</v>
      </c>
      <c r="C22" s="38" t="s">
        <v>129</v>
      </c>
      <c r="D22" s="11"/>
      <c r="E22" s="16">
        <v>16</v>
      </c>
      <c r="F22" s="13">
        <f t="shared" si="0"/>
        <v>0</v>
      </c>
      <c r="G22" s="13">
        <v>3</v>
      </c>
      <c r="H22" s="13">
        <v>3</v>
      </c>
      <c r="I22" s="13">
        <f>20*12</f>
        <v>240</v>
      </c>
      <c r="J22" s="13">
        <f t="shared" si="1"/>
        <v>2160</v>
      </c>
      <c r="K22" s="27">
        <f t="shared" si="2"/>
        <v>0</v>
      </c>
      <c r="M22" s="38">
        <f>IF(D22&gt;0,I22,0)</f>
        <v>0</v>
      </c>
      <c r="N22" s="38">
        <f t="shared" si="4"/>
        <v>0</v>
      </c>
      <c r="O22" s="38">
        <f t="shared" si="5"/>
        <v>0</v>
      </c>
    </row>
    <row r="23" spans="1:16" s="38" customFormat="1" x14ac:dyDescent="0.4">
      <c r="A23" s="38" t="s">
        <v>108</v>
      </c>
      <c r="B23" s="7" t="s">
        <v>130</v>
      </c>
      <c r="C23" s="38" t="s">
        <v>131</v>
      </c>
      <c r="D23" s="11"/>
      <c r="E23" s="16">
        <v>18</v>
      </c>
      <c r="F23" s="13">
        <f t="shared" si="0"/>
        <v>0</v>
      </c>
      <c r="G23" s="13">
        <v>3</v>
      </c>
      <c r="H23" s="13">
        <v>3</v>
      </c>
      <c r="I23" s="13">
        <f>20*12</f>
        <v>240</v>
      </c>
      <c r="J23" s="13">
        <f t="shared" si="1"/>
        <v>2160</v>
      </c>
      <c r="K23" s="27">
        <f t="shared" si="2"/>
        <v>0</v>
      </c>
      <c r="M23" s="38">
        <f t="shared" ref="M23" si="9">IF(D23&gt;0,I23,0)</f>
        <v>0</v>
      </c>
      <c r="N23" s="38">
        <f t="shared" si="4"/>
        <v>0</v>
      </c>
      <c r="O23" s="38">
        <f t="shared" si="5"/>
        <v>0</v>
      </c>
    </row>
    <row r="24" spans="1:16" s="38" customFormat="1" x14ac:dyDescent="0.4">
      <c r="A24" s="38" t="s">
        <v>108</v>
      </c>
      <c r="B24" s="7" t="s">
        <v>176</v>
      </c>
      <c r="C24" s="38" t="s">
        <v>133</v>
      </c>
      <c r="D24" s="11"/>
      <c r="E24" s="16">
        <v>19.3</v>
      </c>
      <c r="F24" s="13">
        <f t="shared" si="0"/>
        <v>0</v>
      </c>
      <c r="G24" s="13">
        <v>3</v>
      </c>
      <c r="H24" s="13">
        <v>3</v>
      </c>
      <c r="I24" s="13">
        <f>18.25*12</f>
        <v>219</v>
      </c>
      <c r="J24" s="13">
        <f t="shared" si="1"/>
        <v>1971</v>
      </c>
      <c r="K24" s="27">
        <f t="shared" si="2"/>
        <v>0</v>
      </c>
      <c r="M24" s="38">
        <f t="shared" ref="M24" si="10">IF(D24&gt;0,I24,0)</f>
        <v>0</v>
      </c>
      <c r="N24" s="38">
        <f t="shared" si="4"/>
        <v>0</v>
      </c>
      <c r="O24" s="38">
        <f t="shared" si="5"/>
        <v>0</v>
      </c>
    </row>
    <row r="25" spans="1:16" x14ac:dyDescent="0.4">
      <c r="A25" t="s">
        <v>108</v>
      </c>
      <c r="B25" s="7" t="s">
        <v>177</v>
      </c>
      <c r="C25" t="s">
        <v>6</v>
      </c>
      <c r="D25" s="11"/>
      <c r="E25" s="16">
        <v>20.14</v>
      </c>
      <c r="F25" s="13">
        <f t="shared" si="0"/>
        <v>0</v>
      </c>
      <c r="G25" s="13">
        <v>3</v>
      </c>
      <c r="H25" s="13">
        <v>3</v>
      </c>
      <c r="I25" s="13">
        <f>20*12</f>
        <v>240</v>
      </c>
      <c r="J25" s="13">
        <f t="shared" si="1"/>
        <v>2160</v>
      </c>
      <c r="K25" s="27">
        <f t="shared" si="2"/>
        <v>0</v>
      </c>
      <c r="M25">
        <f>IF(D25&gt;0,I25,0)</f>
        <v>0</v>
      </c>
      <c r="N25" s="38">
        <f t="shared" si="4"/>
        <v>0</v>
      </c>
      <c r="O25" s="38">
        <f t="shared" si="5"/>
        <v>0</v>
      </c>
    </row>
    <row r="26" spans="1:16" x14ac:dyDescent="0.4">
      <c r="A26" t="s">
        <v>108</v>
      </c>
      <c r="B26" s="7" t="s">
        <v>178</v>
      </c>
      <c r="C26" t="s">
        <v>35</v>
      </c>
      <c r="D26" s="11"/>
      <c r="E26" s="16">
        <v>17.8</v>
      </c>
      <c r="F26" s="13">
        <f t="shared" si="0"/>
        <v>0</v>
      </c>
      <c r="G26" s="13">
        <v>3</v>
      </c>
      <c r="H26" s="13">
        <v>3</v>
      </c>
      <c r="I26" s="13">
        <f>20*12</f>
        <v>240</v>
      </c>
      <c r="J26" s="13">
        <f t="shared" si="1"/>
        <v>2160</v>
      </c>
      <c r="K26" s="27">
        <f t="shared" si="2"/>
        <v>0</v>
      </c>
      <c r="M26">
        <f>IF(D26&gt;0,I26,0)</f>
        <v>0</v>
      </c>
      <c r="N26" s="38">
        <f t="shared" si="4"/>
        <v>0</v>
      </c>
      <c r="O26" s="38">
        <f t="shared" si="5"/>
        <v>0</v>
      </c>
    </row>
    <row r="27" spans="1:16" x14ac:dyDescent="0.4">
      <c r="A27" t="s">
        <v>108</v>
      </c>
      <c r="B27" s="7" t="s">
        <v>179</v>
      </c>
      <c r="C27" t="s">
        <v>25</v>
      </c>
      <c r="D27" s="11"/>
      <c r="E27" s="16">
        <v>7.1</v>
      </c>
      <c r="F27" s="13">
        <f t="shared" si="0"/>
        <v>0</v>
      </c>
      <c r="G27" s="13">
        <v>3</v>
      </c>
      <c r="H27" s="13">
        <v>3</v>
      </c>
      <c r="I27" s="13">
        <f>20*12</f>
        <v>240</v>
      </c>
      <c r="J27" s="13">
        <f t="shared" si="1"/>
        <v>2160</v>
      </c>
      <c r="K27" s="27">
        <f t="shared" si="2"/>
        <v>0</v>
      </c>
      <c r="M27">
        <f>IF(D27&gt;0,I27,0)</f>
        <v>0</v>
      </c>
      <c r="N27" s="38">
        <f t="shared" si="4"/>
        <v>0</v>
      </c>
      <c r="O27" s="38">
        <f t="shared" si="5"/>
        <v>0</v>
      </c>
    </row>
    <row r="28" spans="1:16" s="38" customFormat="1" x14ac:dyDescent="0.4">
      <c r="A28" s="38" t="s">
        <v>108</v>
      </c>
      <c r="B28" s="7" t="s">
        <v>180</v>
      </c>
      <c r="C28" s="38" t="s">
        <v>132</v>
      </c>
      <c r="D28" s="11"/>
      <c r="E28" s="16">
        <v>30.8</v>
      </c>
      <c r="F28" s="13">
        <f t="shared" si="0"/>
        <v>0</v>
      </c>
      <c r="G28" s="13">
        <v>4</v>
      </c>
      <c r="H28" s="13">
        <v>3</v>
      </c>
      <c r="I28" s="13">
        <f>20*12</f>
        <v>240</v>
      </c>
      <c r="J28" s="13">
        <f t="shared" si="1"/>
        <v>2880</v>
      </c>
      <c r="K28" s="27">
        <f t="shared" si="2"/>
        <v>0</v>
      </c>
      <c r="M28" s="38">
        <f>IF(D28&gt;0,I28,0)</f>
        <v>0</v>
      </c>
      <c r="N28" s="38">
        <f t="shared" si="4"/>
        <v>0</v>
      </c>
      <c r="O28" s="38">
        <f t="shared" si="5"/>
        <v>0</v>
      </c>
    </row>
    <row r="29" spans="1:16" x14ac:dyDescent="0.4">
      <c r="A29" t="s">
        <v>108</v>
      </c>
      <c r="B29" s="7" t="s">
        <v>181</v>
      </c>
      <c r="C29" t="s">
        <v>7</v>
      </c>
      <c r="D29" s="11"/>
      <c r="E29" s="16">
        <v>19.399999999999999</v>
      </c>
      <c r="F29" s="13">
        <f t="shared" si="0"/>
        <v>0</v>
      </c>
      <c r="G29" s="13">
        <v>3</v>
      </c>
      <c r="H29" s="13">
        <v>3</v>
      </c>
      <c r="I29" s="13">
        <f>20*12</f>
        <v>240</v>
      </c>
      <c r="J29" s="13">
        <f t="shared" si="1"/>
        <v>2160</v>
      </c>
      <c r="K29" s="27">
        <f t="shared" si="2"/>
        <v>0</v>
      </c>
      <c r="M29">
        <f>IF(D29&gt;0,I29,0)</f>
        <v>0</v>
      </c>
      <c r="N29" s="38">
        <f t="shared" si="4"/>
        <v>0</v>
      </c>
      <c r="O29" s="38">
        <f t="shared" si="5"/>
        <v>0</v>
      </c>
    </row>
    <row r="30" spans="1:16" x14ac:dyDescent="0.4">
      <c r="C30" s="2" t="s">
        <v>17</v>
      </c>
      <c r="D30" s="31">
        <v>0.05</v>
      </c>
      <c r="E30" s="18">
        <f>+D30</f>
        <v>0.05</v>
      </c>
      <c r="F30" s="15">
        <f>SUM(F3:F29)*E30</f>
        <v>0</v>
      </c>
      <c r="G30" s="15"/>
      <c r="H30" s="15"/>
      <c r="I30" s="15"/>
      <c r="J30" s="13">
        <f t="shared" si="1"/>
        <v>0</v>
      </c>
      <c r="K30" s="27">
        <f t="shared" si="2"/>
        <v>0</v>
      </c>
      <c r="N30" s="38"/>
      <c r="O30" s="38"/>
    </row>
    <row r="31" spans="1:16" ht="15" thickBot="1" x14ac:dyDescent="0.45">
      <c r="C31" s="5" t="s">
        <v>18</v>
      </c>
      <c r="D31" s="11"/>
      <c r="E31" s="19">
        <v>50</v>
      </c>
      <c r="F31" s="20">
        <f>E31*D31</f>
        <v>0</v>
      </c>
      <c r="G31" s="14"/>
      <c r="H31" s="14"/>
      <c r="I31" s="14"/>
      <c r="J31" s="13">
        <f t="shared" si="1"/>
        <v>0</v>
      </c>
      <c r="K31" s="27">
        <f t="shared" si="2"/>
        <v>0</v>
      </c>
      <c r="N31" s="38"/>
      <c r="O31" s="38"/>
    </row>
    <row r="32" spans="1:16" ht="15" thickBot="1" x14ac:dyDescent="0.45">
      <c r="B32" s="8"/>
      <c r="C32" s="9"/>
      <c r="D32" s="9"/>
      <c r="E32" s="24"/>
      <c r="F32" s="28">
        <f>SUM(F3:F31)</f>
        <v>0</v>
      </c>
      <c r="G32" s="22"/>
      <c r="H32" s="22"/>
      <c r="I32" s="22"/>
      <c r="J32" s="10"/>
      <c r="K32" s="28">
        <f>SUM(K3:K31)</f>
        <v>0</v>
      </c>
      <c r="L32" s="36" t="s">
        <v>118</v>
      </c>
      <c r="M32" s="47">
        <f>MAX(M2:M30)</f>
        <v>0</v>
      </c>
      <c r="N32" s="25"/>
      <c r="P32" s="29"/>
    </row>
    <row r="33" spans="1:16" s="38" customFormat="1" ht="15" thickTop="1" x14ac:dyDescent="0.4">
      <c r="B33" s="40"/>
      <c r="C33" s="41"/>
      <c r="D33" s="41"/>
      <c r="E33" s="42"/>
      <c r="F33" s="43"/>
      <c r="G33" s="44"/>
      <c r="H33" s="44"/>
      <c r="I33" s="44"/>
      <c r="J33" s="45"/>
      <c r="K33" s="43"/>
      <c r="L33" s="46" t="s">
        <v>119</v>
      </c>
      <c r="M33" s="48">
        <f>MAX(N3:N31)</f>
        <v>0</v>
      </c>
      <c r="N33" s="25"/>
      <c r="O33" s="27"/>
      <c r="P33" s="29"/>
    </row>
    <row r="34" spans="1:16" ht="15" thickBot="1" x14ac:dyDescent="0.45">
      <c r="D34" s="11"/>
      <c r="F34" s="13"/>
      <c r="J34" s="13"/>
      <c r="L34" s="37" t="s">
        <v>155</v>
      </c>
      <c r="M34" s="49">
        <f>MAX(O2:O31)</f>
        <v>0</v>
      </c>
    </row>
    <row r="35" spans="1:16" x14ac:dyDescent="0.4">
      <c r="A35" s="53" t="s">
        <v>122</v>
      </c>
      <c r="B35" s="53"/>
      <c r="C35" s="53"/>
      <c r="D35" s="53"/>
      <c r="E35" s="53"/>
      <c r="F35" s="53"/>
      <c r="G35" s="53"/>
      <c r="H35" s="53"/>
      <c r="I35" s="53"/>
      <c r="J35" s="53"/>
      <c r="K35" s="53"/>
    </row>
    <row r="36" spans="1:16" ht="29.15" x14ac:dyDescent="0.4">
      <c r="A36" t="s">
        <v>107</v>
      </c>
      <c r="B36" s="6" t="s">
        <v>20</v>
      </c>
      <c r="C36" s="3" t="s">
        <v>23</v>
      </c>
      <c r="D36" s="4" t="s">
        <v>21</v>
      </c>
      <c r="E36" s="23" t="s">
        <v>0</v>
      </c>
      <c r="F36" s="4" t="s">
        <v>1</v>
      </c>
      <c r="G36" s="21" t="s">
        <v>2</v>
      </c>
      <c r="H36" s="21" t="s">
        <v>3</v>
      </c>
      <c r="I36" s="21" t="s">
        <v>5</v>
      </c>
      <c r="J36" s="4" t="s">
        <v>4</v>
      </c>
      <c r="K36" s="26" t="s">
        <v>101</v>
      </c>
      <c r="M36" s="12" t="s">
        <v>102</v>
      </c>
      <c r="N36" s="12" t="s">
        <v>153</v>
      </c>
      <c r="O36" s="30" t="s">
        <v>156</v>
      </c>
      <c r="P36" s="12"/>
    </row>
    <row r="37" spans="1:16" x14ac:dyDescent="0.4">
      <c r="A37" t="s">
        <v>110</v>
      </c>
      <c r="B37" s="7" t="s">
        <v>46</v>
      </c>
      <c r="C37" t="s">
        <v>19</v>
      </c>
      <c r="D37" s="11"/>
      <c r="E37" s="16">
        <v>25</v>
      </c>
      <c r="F37" s="13">
        <f t="shared" ref="F37:F48" si="11">E37*D37</f>
        <v>0</v>
      </c>
      <c r="G37" s="13">
        <v>36</v>
      </c>
      <c r="H37" s="13">
        <v>42</v>
      </c>
      <c r="I37" s="13">
        <f>0.5*12</f>
        <v>6</v>
      </c>
      <c r="J37" s="13">
        <f t="shared" ref="J37:J50" si="12">G37*H37*I37</f>
        <v>9072</v>
      </c>
      <c r="K37" s="27">
        <f t="shared" ref="K37:K50" si="13">G37*H37*I37*D37</f>
        <v>0</v>
      </c>
      <c r="M37">
        <f t="shared" ref="M37:M48" si="14">IF(D37&gt;0,I37,0)</f>
        <v>0</v>
      </c>
      <c r="N37" s="38">
        <f t="shared" ref="N37:N49" si="15">IF(D37&gt;0,G37,0)</f>
        <v>0</v>
      </c>
      <c r="O37" s="38">
        <f t="shared" ref="O37:O49" si="16">IF(D37&gt;0,H37,0)</f>
        <v>0</v>
      </c>
    </row>
    <row r="38" spans="1:16" x14ac:dyDescent="0.4">
      <c r="A38" t="s">
        <v>115</v>
      </c>
      <c r="B38" s="7" t="s">
        <v>182</v>
      </c>
      <c r="C38" t="s">
        <v>99</v>
      </c>
      <c r="D38" s="11"/>
      <c r="E38" s="17"/>
      <c r="F38" s="13">
        <f t="shared" si="11"/>
        <v>0</v>
      </c>
      <c r="G38" s="14"/>
      <c r="H38" s="14"/>
      <c r="I38" s="13">
        <v>0.5</v>
      </c>
      <c r="J38" s="13">
        <f t="shared" si="12"/>
        <v>0</v>
      </c>
      <c r="K38" s="27">
        <f t="shared" si="13"/>
        <v>0</v>
      </c>
      <c r="M38">
        <f t="shared" si="14"/>
        <v>0</v>
      </c>
      <c r="N38" s="38">
        <f t="shared" si="15"/>
        <v>0</v>
      </c>
      <c r="O38" s="38">
        <f t="shared" si="16"/>
        <v>0</v>
      </c>
    </row>
    <row r="39" spans="1:16" x14ac:dyDescent="0.4">
      <c r="A39" t="s">
        <v>115</v>
      </c>
      <c r="B39" s="7" t="s">
        <v>183</v>
      </c>
      <c r="C39" t="s">
        <v>100</v>
      </c>
      <c r="D39" s="11"/>
      <c r="E39" s="17"/>
      <c r="F39" s="13">
        <f t="shared" si="11"/>
        <v>0</v>
      </c>
      <c r="G39" s="14"/>
      <c r="H39" s="14"/>
      <c r="I39" s="13">
        <v>0.25</v>
      </c>
      <c r="J39" s="13">
        <f t="shared" si="12"/>
        <v>0</v>
      </c>
      <c r="K39" s="27">
        <f t="shared" si="13"/>
        <v>0</v>
      </c>
      <c r="M39">
        <f t="shared" si="14"/>
        <v>0</v>
      </c>
      <c r="N39" s="38">
        <f t="shared" si="15"/>
        <v>0</v>
      </c>
      <c r="O39" s="38">
        <f t="shared" si="16"/>
        <v>0</v>
      </c>
    </row>
    <row r="40" spans="1:16" x14ac:dyDescent="0.4">
      <c r="A40" t="s">
        <v>115</v>
      </c>
      <c r="B40" s="7" t="s">
        <v>184</v>
      </c>
      <c r="C40" t="s">
        <v>88</v>
      </c>
      <c r="D40" s="11"/>
      <c r="E40" s="16">
        <v>0.5</v>
      </c>
      <c r="F40" s="13">
        <f t="shared" si="11"/>
        <v>0</v>
      </c>
      <c r="G40" s="13">
        <v>0.67500000000000004</v>
      </c>
      <c r="H40" s="13">
        <v>0.67500000000000004</v>
      </c>
      <c r="I40" s="13">
        <v>36</v>
      </c>
      <c r="J40" s="13">
        <f t="shared" si="12"/>
        <v>16.402500000000003</v>
      </c>
      <c r="K40" s="27">
        <f t="shared" si="13"/>
        <v>0</v>
      </c>
      <c r="M40">
        <f t="shared" si="14"/>
        <v>0</v>
      </c>
      <c r="N40" s="38">
        <f t="shared" si="15"/>
        <v>0</v>
      </c>
      <c r="O40" s="38">
        <f t="shared" si="16"/>
        <v>0</v>
      </c>
    </row>
    <row r="41" spans="1:16" x14ac:dyDescent="0.4">
      <c r="A41" t="s">
        <v>115</v>
      </c>
      <c r="B41" s="7" t="s">
        <v>185</v>
      </c>
      <c r="C41" t="s">
        <v>11</v>
      </c>
      <c r="D41" s="11"/>
      <c r="E41" s="16">
        <v>0.5</v>
      </c>
      <c r="F41" s="13">
        <f t="shared" si="11"/>
        <v>0</v>
      </c>
      <c r="G41" s="13">
        <v>0.67500000000000004</v>
      </c>
      <c r="H41" s="13">
        <v>0.67500000000000004</v>
      </c>
      <c r="I41" s="13">
        <v>42</v>
      </c>
      <c r="J41" s="13">
        <f t="shared" si="12"/>
        <v>19.136250000000004</v>
      </c>
      <c r="K41" s="27">
        <f t="shared" si="13"/>
        <v>0</v>
      </c>
      <c r="M41">
        <f t="shared" si="14"/>
        <v>0</v>
      </c>
      <c r="N41" s="38">
        <f t="shared" si="15"/>
        <v>0</v>
      </c>
      <c r="O41" s="38">
        <f t="shared" si="16"/>
        <v>0</v>
      </c>
    </row>
    <row r="42" spans="1:16" x14ac:dyDescent="0.4">
      <c r="A42" t="s">
        <v>109</v>
      </c>
      <c r="B42" s="7" t="s">
        <v>186</v>
      </c>
      <c r="C42" t="s">
        <v>105</v>
      </c>
      <c r="D42" s="11"/>
      <c r="E42" s="16">
        <v>6.35</v>
      </c>
      <c r="F42" s="13">
        <f t="shared" si="11"/>
        <v>0</v>
      </c>
      <c r="G42" s="13">
        <v>2.375</v>
      </c>
      <c r="H42" s="13">
        <v>2.375</v>
      </c>
      <c r="I42" s="13">
        <v>45</v>
      </c>
      <c r="J42" s="13">
        <f t="shared" si="12"/>
        <v>253.828125</v>
      </c>
      <c r="K42" s="27">
        <f t="shared" si="13"/>
        <v>0</v>
      </c>
      <c r="M42">
        <f t="shared" si="14"/>
        <v>0</v>
      </c>
      <c r="N42" s="38">
        <f t="shared" si="15"/>
        <v>0</v>
      </c>
      <c r="O42" s="38">
        <f t="shared" si="16"/>
        <v>0</v>
      </c>
    </row>
    <row r="43" spans="1:16" x14ac:dyDescent="0.4">
      <c r="A43" t="s">
        <v>109</v>
      </c>
      <c r="B43" s="7" t="s">
        <v>187</v>
      </c>
      <c r="C43" t="s">
        <v>89</v>
      </c>
      <c r="D43" s="11"/>
      <c r="E43" s="16">
        <v>5.6</v>
      </c>
      <c r="F43" s="13">
        <f t="shared" si="11"/>
        <v>0</v>
      </c>
      <c r="G43" s="13">
        <v>5</v>
      </c>
      <c r="H43" s="13">
        <v>5</v>
      </c>
      <c r="I43" s="13">
        <v>36</v>
      </c>
      <c r="J43" s="13">
        <f t="shared" si="12"/>
        <v>900</v>
      </c>
      <c r="K43" s="27">
        <f t="shared" si="13"/>
        <v>0</v>
      </c>
      <c r="M43">
        <f t="shared" si="14"/>
        <v>0</v>
      </c>
      <c r="N43" s="38">
        <f t="shared" si="15"/>
        <v>0</v>
      </c>
      <c r="O43" s="38">
        <f t="shared" si="16"/>
        <v>0</v>
      </c>
    </row>
    <row r="44" spans="1:16" x14ac:dyDescent="0.4">
      <c r="A44" t="s">
        <v>109</v>
      </c>
      <c r="B44" s="7" t="s">
        <v>188</v>
      </c>
      <c r="C44" t="s">
        <v>91</v>
      </c>
      <c r="D44" s="11"/>
      <c r="E44" s="16">
        <v>5.6</v>
      </c>
      <c r="F44" s="13">
        <f t="shared" si="11"/>
        <v>0</v>
      </c>
      <c r="G44" s="13">
        <v>3</v>
      </c>
      <c r="H44" s="13">
        <v>5</v>
      </c>
      <c r="I44" s="13">
        <v>36</v>
      </c>
      <c r="J44" s="13">
        <f t="shared" si="12"/>
        <v>540</v>
      </c>
      <c r="K44" s="27">
        <f t="shared" si="13"/>
        <v>0</v>
      </c>
      <c r="M44">
        <f t="shared" si="14"/>
        <v>0</v>
      </c>
      <c r="N44" s="38">
        <f t="shared" si="15"/>
        <v>0</v>
      </c>
      <c r="O44" s="38">
        <f t="shared" si="16"/>
        <v>0</v>
      </c>
    </row>
    <row r="45" spans="1:16" x14ac:dyDescent="0.4">
      <c r="A45" t="s">
        <v>109</v>
      </c>
      <c r="B45" s="7" t="s">
        <v>189</v>
      </c>
      <c r="C45" t="s">
        <v>117</v>
      </c>
      <c r="D45" s="11"/>
      <c r="E45" s="16">
        <v>5.6</v>
      </c>
      <c r="F45" s="13">
        <f t="shared" si="11"/>
        <v>0</v>
      </c>
      <c r="G45" s="13">
        <v>5</v>
      </c>
      <c r="H45" s="13">
        <v>5</v>
      </c>
      <c r="I45" s="13">
        <v>36</v>
      </c>
      <c r="J45" s="13">
        <f t="shared" si="12"/>
        <v>900</v>
      </c>
      <c r="K45" s="27">
        <f t="shared" si="13"/>
        <v>0</v>
      </c>
      <c r="M45">
        <f t="shared" si="14"/>
        <v>0</v>
      </c>
      <c r="N45" s="38">
        <f t="shared" si="15"/>
        <v>0</v>
      </c>
      <c r="O45" s="38">
        <f t="shared" si="16"/>
        <v>0</v>
      </c>
    </row>
    <row r="46" spans="1:16" x14ac:dyDescent="0.4">
      <c r="A46" t="s">
        <v>109</v>
      </c>
      <c r="B46" s="7" t="s">
        <v>190</v>
      </c>
      <c r="C46" t="s">
        <v>90</v>
      </c>
      <c r="D46" s="11"/>
      <c r="E46" s="16">
        <v>5.6</v>
      </c>
      <c r="F46" s="13">
        <f t="shared" si="11"/>
        <v>0</v>
      </c>
      <c r="G46" s="13">
        <v>5</v>
      </c>
      <c r="H46" s="13">
        <v>5</v>
      </c>
      <c r="I46" s="13">
        <v>42</v>
      </c>
      <c r="J46" s="13">
        <f t="shared" si="12"/>
        <v>1050</v>
      </c>
      <c r="K46" s="27">
        <f t="shared" si="13"/>
        <v>0</v>
      </c>
      <c r="M46">
        <f t="shared" si="14"/>
        <v>0</v>
      </c>
      <c r="N46" s="38">
        <f t="shared" si="15"/>
        <v>0</v>
      </c>
      <c r="O46" s="38">
        <f t="shared" si="16"/>
        <v>0</v>
      </c>
    </row>
    <row r="47" spans="1:16" s="38" customFormat="1" x14ac:dyDescent="0.4">
      <c r="A47" s="38" t="s">
        <v>109</v>
      </c>
      <c r="B47" s="7" t="s">
        <v>217</v>
      </c>
      <c r="C47" s="38" t="s">
        <v>90</v>
      </c>
      <c r="D47" s="11"/>
      <c r="E47" s="16">
        <v>5.6</v>
      </c>
      <c r="F47" s="13">
        <f t="shared" ref="F47" si="17">E47*D47</f>
        <v>0</v>
      </c>
      <c r="G47" s="13">
        <v>5</v>
      </c>
      <c r="H47" s="13">
        <v>5</v>
      </c>
      <c r="I47" s="13">
        <v>42</v>
      </c>
      <c r="J47" s="13">
        <f t="shared" ref="J47" si="18">G47*H47*I47</f>
        <v>1050</v>
      </c>
      <c r="K47" s="27">
        <f t="shared" ref="K47" si="19">G47*H47*I47*D47</f>
        <v>0</v>
      </c>
      <c r="M47" s="38">
        <f t="shared" ref="M47" si="20">IF(D47&gt;0,I47,0)</f>
        <v>0</v>
      </c>
      <c r="N47" s="38">
        <f t="shared" ref="N47" si="21">IF(D47&gt;0,G47,0)</f>
        <v>0</v>
      </c>
      <c r="O47" s="38">
        <f t="shared" ref="O47" si="22">IF(D47&gt;0,H47,0)</f>
        <v>0</v>
      </c>
    </row>
    <row r="48" spans="1:16" x14ac:dyDescent="0.4">
      <c r="A48" t="s">
        <v>109</v>
      </c>
      <c r="B48" s="7" t="s">
        <v>191</v>
      </c>
      <c r="C48" t="s">
        <v>92</v>
      </c>
      <c r="D48" s="11"/>
      <c r="E48" s="16">
        <v>5.6</v>
      </c>
      <c r="F48" s="13">
        <f t="shared" si="11"/>
        <v>0</v>
      </c>
      <c r="G48" s="13">
        <v>3</v>
      </c>
      <c r="H48" s="13">
        <v>5</v>
      </c>
      <c r="I48" s="13">
        <v>42</v>
      </c>
      <c r="J48" s="13">
        <f t="shared" si="12"/>
        <v>630</v>
      </c>
      <c r="K48" s="27">
        <f t="shared" si="13"/>
        <v>0</v>
      </c>
      <c r="M48">
        <f t="shared" si="14"/>
        <v>0</v>
      </c>
      <c r="N48" s="38">
        <f t="shared" si="15"/>
        <v>0</v>
      </c>
      <c r="O48" s="38">
        <f t="shared" si="16"/>
        <v>0</v>
      </c>
    </row>
    <row r="49" spans="1:16" x14ac:dyDescent="0.4">
      <c r="C49" s="2" t="s">
        <v>17</v>
      </c>
      <c r="D49" s="31">
        <v>0.05</v>
      </c>
      <c r="E49" s="18">
        <f>+D49</f>
        <v>0.05</v>
      </c>
      <c r="F49" s="15">
        <f>SUM(F37:F48)*E49</f>
        <v>0</v>
      </c>
      <c r="G49" s="15"/>
      <c r="H49" s="15"/>
      <c r="I49" s="15"/>
      <c r="J49" s="13">
        <f t="shared" si="12"/>
        <v>0</v>
      </c>
      <c r="K49" s="27">
        <f t="shared" si="13"/>
        <v>0</v>
      </c>
      <c r="M49">
        <f>IF(D49&gt;0,I49,0)</f>
        <v>0</v>
      </c>
      <c r="N49" s="38">
        <f t="shared" si="15"/>
        <v>0</v>
      </c>
      <c r="O49" s="38">
        <f t="shared" si="16"/>
        <v>0</v>
      </c>
    </row>
    <row r="50" spans="1:16" ht="15" thickBot="1" x14ac:dyDescent="0.45">
      <c r="C50" s="5" t="s">
        <v>123</v>
      </c>
      <c r="D50" s="11">
        <v>1</v>
      </c>
      <c r="E50" s="19">
        <v>41.2</v>
      </c>
      <c r="F50" s="20">
        <f>E50*D50</f>
        <v>41.2</v>
      </c>
      <c r="G50" s="14"/>
      <c r="H50" s="14"/>
      <c r="I50" s="14"/>
      <c r="J50" s="13">
        <f t="shared" si="12"/>
        <v>0</v>
      </c>
      <c r="K50" s="27">
        <f t="shared" si="13"/>
        <v>0</v>
      </c>
      <c r="N50" s="38"/>
      <c r="O50" s="38"/>
    </row>
    <row r="51" spans="1:16" ht="15" thickBot="1" x14ac:dyDescent="0.45">
      <c r="B51" s="8"/>
      <c r="C51" s="9"/>
      <c r="D51" s="9"/>
      <c r="E51" s="24"/>
      <c r="F51" s="28">
        <f>SUM(F37:F50)</f>
        <v>41.2</v>
      </c>
      <c r="G51" s="22"/>
      <c r="H51" s="22"/>
      <c r="I51" s="22"/>
      <c r="J51" s="10"/>
      <c r="K51" s="28">
        <f>SUM(K37:K50)</f>
        <v>0</v>
      </c>
      <c r="L51" s="36" t="s">
        <v>118</v>
      </c>
      <c r="M51" s="50">
        <f>MAX(M36:M49)</f>
        <v>0</v>
      </c>
      <c r="N51" s="25"/>
      <c r="P51" s="29"/>
    </row>
    <row r="52" spans="1:16" s="38" customFormat="1" ht="15" thickTop="1" x14ac:dyDescent="0.4">
      <c r="B52" s="40"/>
      <c r="C52" s="41"/>
      <c r="D52" s="41"/>
      <c r="E52" s="42"/>
      <c r="F52" s="43"/>
      <c r="G52" s="44"/>
      <c r="H52" s="44"/>
      <c r="I52" s="44"/>
      <c r="J52" s="45"/>
      <c r="K52" s="43"/>
      <c r="L52" s="46" t="s">
        <v>119</v>
      </c>
      <c r="M52" s="51">
        <f>MAX(N37:N50)</f>
        <v>0</v>
      </c>
      <c r="N52" s="25"/>
      <c r="O52" s="27"/>
      <c r="P52" s="29"/>
    </row>
    <row r="53" spans="1:16" ht="15" thickBot="1" x14ac:dyDescent="0.45">
      <c r="D53" s="11"/>
      <c r="F53" s="13"/>
      <c r="J53" s="13"/>
      <c r="L53" s="37" t="s">
        <v>155</v>
      </c>
      <c r="M53" s="52">
        <f>MAX(O36:O49)</f>
        <v>0</v>
      </c>
    </row>
    <row r="54" spans="1:16" x14ac:dyDescent="0.4">
      <c r="A54" s="54" t="s">
        <v>121</v>
      </c>
      <c r="B54" s="54"/>
      <c r="C54" s="54"/>
      <c r="D54" s="54"/>
      <c r="E54" s="54"/>
      <c r="F54" s="54"/>
      <c r="G54" s="54"/>
      <c r="H54" s="54"/>
      <c r="I54" s="54"/>
      <c r="J54" s="54"/>
      <c r="K54" s="54"/>
    </row>
    <row r="55" spans="1:16" ht="29.15" x14ac:dyDescent="0.4">
      <c r="A55" t="s">
        <v>107</v>
      </c>
      <c r="B55" s="6" t="s">
        <v>20</v>
      </c>
      <c r="C55" s="3" t="s">
        <v>23</v>
      </c>
      <c r="D55" s="4" t="s">
        <v>21</v>
      </c>
      <c r="E55" s="23" t="s">
        <v>0</v>
      </c>
      <c r="F55" s="4" t="s">
        <v>1</v>
      </c>
      <c r="G55" s="21" t="s">
        <v>2</v>
      </c>
      <c r="H55" s="21" t="s">
        <v>3</v>
      </c>
      <c r="I55" s="21" t="s">
        <v>5</v>
      </c>
      <c r="J55" s="4" t="s">
        <v>4</v>
      </c>
      <c r="K55" s="26" t="s">
        <v>101</v>
      </c>
      <c r="M55" s="12" t="s">
        <v>102</v>
      </c>
      <c r="N55" s="12" t="s">
        <v>153</v>
      </c>
      <c r="O55" s="30" t="s">
        <v>156</v>
      </c>
      <c r="P55" s="12"/>
    </row>
    <row r="56" spans="1:16" x14ac:dyDescent="0.4">
      <c r="A56" t="s">
        <v>111</v>
      </c>
      <c r="B56" t="s">
        <v>192</v>
      </c>
      <c r="C56" t="s">
        <v>65</v>
      </c>
      <c r="D56" s="11"/>
      <c r="E56" s="16">
        <v>2.4</v>
      </c>
      <c r="F56" s="13">
        <f>E56*D56</f>
        <v>0</v>
      </c>
      <c r="G56" s="13">
        <v>1</v>
      </c>
      <c r="H56" s="13">
        <v>1</v>
      </c>
      <c r="I56" s="13">
        <v>12</v>
      </c>
      <c r="J56" s="13">
        <f t="shared" ref="J56:J113" si="23">G56*H56*I56</f>
        <v>12</v>
      </c>
      <c r="K56" s="27">
        <f t="shared" ref="K56:K111" si="24">G56*H56*I56*D56</f>
        <v>0</v>
      </c>
      <c r="M56" s="38">
        <f t="shared" ref="M56:M67" si="25">IF(D56&gt;0,I56,0)</f>
        <v>0</v>
      </c>
      <c r="N56" s="38">
        <f t="shared" ref="N56:N67" si="26">IF(D56&gt;0,G56,0)</f>
        <v>0</v>
      </c>
      <c r="O56" s="38">
        <f>IF(D56&gt;0,H56,0)</f>
        <v>0</v>
      </c>
    </row>
    <row r="57" spans="1:16" x14ac:dyDescent="0.4">
      <c r="A57" t="s">
        <v>111</v>
      </c>
      <c r="B57" t="s">
        <v>193</v>
      </c>
      <c r="C57" t="s">
        <v>66</v>
      </c>
      <c r="D57" s="11"/>
      <c r="E57" s="16">
        <v>2.4</v>
      </c>
      <c r="F57" s="13">
        <f t="shared" ref="F57:F111" si="27">E57*D57</f>
        <v>0</v>
      </c>
      <c r="G57" s="13">
        <v>1</v>
      </c>
      <c r="H57" s="13">
        <v>1</v>
      </c>
      <c r="I57" s="13">
        <v>12</v>
      </c>
      <c r="J57" s="13">
        <f t="shared" si="23"/>
        <v>12</v>
      </c>
      <c r="K57" s="27">
        <f t="shared" si="24"/>
        <v>0</v>
      </c>
      <c r="M57" s="38">
        <f t="shared" si="25"/>
        <v>0</v>
      </c>
      <c r="N57" s="38">
        <f t="shared" si="26"/>
        <v>0</v>
      </c>
      <c r="O57" s="38">
        <f t="shared" ref="O57:O67" si="28">IF(D57&gt;0,H57,0)</f>
        <v>0</v>
      </c>
    </row>
    <row r="58" spans="1:16" x14ac:dyDescent="0.4">
      <c r="A58" t="s">
        <v>111</v>
      </c>
      <c r="B58" s="7" t="s">
        <v>194</v>
      </c>
      <c r="C58" t="s">
        <v>74</v>
      </c>
      <c r="D58" s="11"/>
      <c r="E58" s="16">
        <v>2</v>
      </c>
      <c r="F58" s="13">
        <f t="shared" si="27"/>
        <v>0</v>
      </c>
      <c r="G58" s="13">
        <v>12</v>
      </c>
      <c r="H58" s="13">
        <v>0.125</v>
      </c>
      <c r="I58" s="13">
        <v>12</v>
      </c>
      <c r="J58" s="13">
        <f t="shared" si="23"/>
        <v>18</v>
      </c>
      <c r="K58" s="27">
        <f t="shared" si="24"/>
        <v>0</v>
      </c>
      <c r="M58" s="38">
        <f t="shared" si="25"/>
        <v>0</v>
      </c>
      <c r="N58" s="38">
        <f t="shared" si="26"/>
        <v>0</v>
      </c>
      <c r="O58" s="38">
        <f t="shared" si="28"/>
        <v>0</v>
      </c>
    </row>
    <row r="59" spans="1:16" x14ac:dyDescent="0.4">
      <c r="A59" t="s">
        <v>111</v>
      </c>
      <c r="B59" s="7" t="s">
        <v>195</v>
      </c>
      <c r="C59" t="s">
        <v>71</v>
      </c>
      <c r="D59" s="11"/>
      <c r="E59" s="16">
        <v>0.43</v>
      </c>
      <c r="F59" s="13">
        <f t="shared" si="27"/>
        <v>0</v>
      </c>
      <c r="G59" s="13">
        <v>1</v>
      </c>
      <c r="H59" s="13">
        <v>0.125</v>
      </c>
      <c r="I59" s="13">
        <v>12</v>
      </c>
      <c r="J59" s="13">
        <f t="shared" si="23"/>
        <v>1.5</v>
      </c>
      <c r="K59" s="27">
        <f t="shared" si="24"/>
        <v>0</v>
      </c>
      <c r="M59" s="38">
        <f t="shared" si="25"/>
        <v>0</v>
      </c>
      <c r="N59" s="38">
        <f t="shared" si="26"/>
        <v>0</v>
      </c>
      <c r="O59" s="38">
        <f t="shared" si="28"/>
        <v>0</v>
      </c>
    </row>
    <row r="60" spans="1:16" x14ac:dyDescent="0.4">
      <c r="A60" t="s">
        <v>111</v>
      </c>
      <c r="B60" s="7" t="s">
        <v>198</v>
      </c>
      <c r="C60" t="s">
        <v>86</v>
      </c>
      <c r="D60" s="11"/>
      <c r="E60" s="16">
        <v>2</v>
      </c>
      <c r="F60" s="13">
        <f t="shared" si="27"/>
        <v>0</v>
      </c>
      <c r="G60" s="13">
        <v>5</v>
      </c>
      <c r="H60" s="13">
        <v>4</v>
      </c>
      <c r="I60" s="13">
        <v>6</v>
      </c>
      <c r="J60" s="13">
        <f t="shared" si="23"/>
        <v>120</v>
      </c>
      <c r="K60" s="27">
        <f t="shared" si="24"/>
        <v>0</v>
      </c>
      <c r="M60" s="38">
        <f t="shared" si="25"/>
        <v>0</v>
      </c>
      <c r="N60" s="38">
        <f t="shared" si="26"/>
        <v>0</v>
      </c>
      <c r="O60" s="38">
        <f t="shared" si="28"/>
        <v>0</v>
      </c>
    </row>
    <row r="61" spans="1:16" x14ac:dyDescent="0.4">
      <c r="A61" t="s">
        <v>111</v>
      </c>
      <c r="B61" s="7" t="s">
        <v>196</v>
      </c>
      <c r="C61" t="s">
        <v>84</v>
      </c>
      <c r="D61" s="11"/>
      <c r="E61" s="16">
        <v>2</v>
      </c>
      <c r="F61" s="13">
        <f t="shared" si="27"/>
        <v>0</v>
      </c>
      <c r="G61" s="13">
        <v>5</v>
      </c>
      <c r="H61" s="13">
        <v>4</v>
      </c>
      <c r="I61" s="13">
        <v>6</v>
      </c>
      <c r="J61" s="13">
        <f t="shared" si="23"/>
        <v>120</v>
      </c>
      <c r="K61" s="27">
        <f t="shared" si="24"/>
        <v>0</v>
      </c>
      <c r="M61" s="38">
        <f t="shared" si="25"/>
        <v>0</v>
      </c>
      <c r="N61" s="38">
        <f t="shared" si="26"/>
        <v>0</v>
      </c>
      <c r="O61" s="38">
        <f t="shared" si="28"/>
        <v>0</v>
      </c>
    </row>
    <row r="62" spans="1:16" x14ac:dyDescent="0.4">
      <c r="A62" t="s">
        <v>111</v>
      </c>
      <c r="B62" s="7" t="s">
        <v>197</v>
      </c>
      <c r="C62" t="s">
        <v>85</v>
      </c>
      <c r="D62" s="11"/>
      <c r="E62" s="16">
        <v>2</v>
      </c>
      <c r="F62" s="13">
        <f t="shared" si="27"/>
        <v>0</v>
      </c>
      <c r="G62" s="13">
        <v>5</v>
      </c>
      <c r="H62" s="13">
        <v>4</v>
      </c>
      <c r="I62" s="13">
        <v>6</v>
      </c>
      <c r="J62" s="13">
        <f t="shared" si="23"/>
        <v>120</v>
      </c>
      <c r="K62" s="27">
        <f t="shared" si="24"/>
        <v>0</v>
      </c>
      <c r="M62" s="38">
        <f t="shared" si="25"/>
        <v>0</v>
      </c>
      <c r="N62" s="38">
        <f t="shared" si="26"/>
        <v>0</v>
      </c>
      <c r="O62" s="38">
        <f t="shared" si="28"/>
        <v>0</v>
      </c>
    </row>
    <row r="63" spans="1:16" x14ac:dyDescent="0.4">
      <c r="A63" t="s">
        <v>111</v>
      </c>
      <c r="B63" s="7" t="s">
        <v>199</v>
      </c>
      <c r="C63" t="s">
        <v>15</v>
      </c>
      <c r="D63" s="11"/>
      <c r="E63" s="16">
        <v>0.2</v>
      </c>
      <c r="F63" s="13">
        <f t="shared" si="27"/>
        <v>0</v>
      </c>
      <c r="G63" s="13">
        <v>5</v>
      </c>
      <c r="H63" s="13">
        <v>5</v>
      </c>
      <c r="I63" s="13">
        <v>3.5</v>
      </c>
      <c r="J63" s="13">
        <f t="shared" si="23"/>
        <v>87.5</v>
      </c>
      <c r="K63" s="27">
        <f t="shared" si="24"/>
        <v>0</v>
      </c>
      <c r="M63" s="38">
        <f t="shared" si="25"/>
        <v>0</v>
      </c>
      <c r="N63" s="38">
        <f t="shared" si="26"/>
        <v>0</v>
      </c>
      <c r="O63" s="38">
        <f t="shared" si="28"/>
        <v>0</v>
      </c>
    </row>
    <row r="64" spans="1:16" x14ac:dyDescent="0.4">
      <c r="A64" t="s">
        <v>111</v>
      </c>
      <c r="B64" s="7" t="s">
        <v>200</v>
      </c>
      <c r="C64" t="s">
        <v>41</v>
      </c>
      <c r="D64" s="11"/>
      <c r="E64" s="16">
        <v>0.2</v>
      </c>
      <c r="F64" s="13">
        <f t="shared" si="27"/>
        <v>0</v>
      </c>
      <c r="G64" s="13">
        <v>5</v>
      </c>
      <c r="H64" s="13">
        <v>5</v>
      </c>
      <c r="I64" s="13">
        <v>2</v>
      </c>
      <c r="J64" s="13">
        <f t="shared" si="23"/>
        <v>50</v>
      </c>
      <c r="K64" s="27">
        <f t="shared" si="24"/>
        <v>0</v>
      </c>
      <c r="M64" s="38">
        <f t="shared" si="25"/>
        <v>0</v>
      </c>
      <c r="N64" s="38">
        <f t="shared" si="26"/>
        <v>0</v>
      </c>
      <c r="O64" s="38">
        <f t="shared" si="28"/>
        <v>0</v>
      </c>
    </row>
    <row r="65" spans="1:18" x14ac:dyDescent="0.4">
      <c r="A65" t="s">
        <v>111</v>
      </c>
      <c r="B65" t="s">
        <v>160</v>
      </c>
      <c r="C65" t="s">
        <v>63</v>
      </c>
      <c r="D65" s="11"/>
      <c r="E65" s="16">
        <v>0.2</v>
      </c>
      <c r="F65" s="13">
        <f t="shared" si="27"/>
        <v>0</v>
      </c>
      <c r="G65" s="13">
        <v>1</v>
      </c>
      <c r="H65" s="13">
        <v>1</v>
      </c>
      <c r="I65" s="13">
        <v>1</v>
      </c>
      <c r="J65" s="13">
        <f t="shared" si="23"/>
        <v>1</v>
      </c>
      <c r="K65" s="27">
        <f t="shared" si="24"/>
        <v>0</v>
      </c>
      <c r="M65" s="38">
        <f t="shared" si="25"/>
        <v>0</v>
      </c>
      <c r="N65" s="38">
        <f t="shared" si="26"/>
        <v>0</v>
      </c>
      <c r="O65" s="38">
        <f t="shared" si="28"/>
        <v>0</v>
      </c>
    </row>
    <row r="66" spans="1:18" x14ac:dyDescent="0.4">
      <c r="A66" t="s">
        <v>111</v>
      </c>
      <c r="B66" t="s">
        <v>161</v>
      </c>
      <c r="C66" t="s">
        <v>64</v>
      </c>
      <c r="D66" s="11"/>
      <c r="E66" s="16">
        <v>0.2</v>
      </c>
      <c r="F66" s="13">
        <f t="shared" si="27"/>
        <v>0</v>
      </c>
      <c r="G66" s="13">
        <v>1</v>
      </c>
      <c r="H66" s="13">
        <v>1</v>
      </c>
      <c r="I66" s="13">
        <v>1</v>
      </c>
      <c r="J66" s="13">
        <f t="shared" si="23"/>
        <v>1</v>
      </c>
      <c r="K66" s="27">
        <f t="shared" si="24"/>
        <v>0</v>
      </c>
      <c r="M66" s="38">
        <f t="shared" si="25"/>
        <v>0</v>
      </c>
      <c r="N66" s="38">
        <f t="shared" si="26"/>
        <v>0</v>
      </c>
      <c r="O66" s="38">
        <f t="shared" si="28"/>
        <v>0</v>
      </c>
    </row>
    <row r="67" spans="1:18" x14ac:dyDescent="0.4">
      <c r="A67" t="s">
        <v>111</v>
      </c>
      <c r="B67" s="7" t="s">
        <v>201</v>
      </c>
      <c r="C67" t="s">
        <v>54</v>
      </c>
      <c r="D67" s="11"/>
      <c r="E67" s="16">
        <v>0.8</v>
      </c>
      <c r="F67" s="13">
        <f t="shared" si="27"/>
        <v>0</v>
      </c>
      <c r="G67" s="13">
        <v>3</v>
      </c>
      <c r="H67" s="13">
        <v>5</v>
      </c>
      <c r="I67" s="13">
        <v>0.75</v>
      </c>
      <c r="J67" s="13">
        <f t="shared" si="23"/>
        <v>11.25</v>
      </c>
      <c r="K67" s="27">
        <f t="shared" si="24"/>
        <v>0</v>
      </c>
      <c r="M67" s="38">
        <f t="shared" si="25"/>
        <v>0</v>
      </c>
      <c r="N67" s="38">
        <f t="shared" si="26"/>
        <v>0</v>
      </c>
      <c r="O67" s="38">
        <f t="shared" si="28"/>
        <v>0</v>
      </c>
    </row>
    <row r="68" spans="1:18" x14ac:dyDescent="0.4">
      <c r="A68" t="s">
        <v>111</v>
      </c>
      <c r="B68" s="7" t="s">
        <v>202</v>
      </c>
      <c r="C68" t="s">
        <v>81</v>
      </c>
      <c r="D68" s="11"/>
      <c r="E68" s="16">
        <v>0.1</v>
      </c>
      <c r="F68" s="13">
        <f t="shared" si="27"/>
        <v>0</v>
      </c>
      <c r="G68" s="13">
        <v>3</v>
      </c>
      <c r="H68" s="13">
        <v>3</v>
      </c>
      <c r="I68" s="13">
        <v>0.65</v>
      </c>
      <c r="J68" s="13">
        <f t="shared" si="23"/>
        <v>5.8500000000000005</v>
      </c>
      <c r="K68" s="27">
        <f t="shared" si="24"/>
        <v>0</v>
      </c>
      <c r="M68" s="38">
        <f t="shared" ref="M68:M111" si="29">IF(D68&gt;0,I68,0)</f>
        <v>0</v>
      </c>
      <c r="N68" s="38">
        <f t="shared" ref="N68:N111" si="30">IF(D68&gt;0,G68,0)</f>
        <v>0</v>
      </c>
      <c r="O68" s="38">
        <f t="shared" ref="O68:O111" si="31">IF(D68&gt;0,H68,0)</f>
        <v>0</v>
      </c>
    </row>
    <row r="69" spans="1:18" x14ac:dyDescent="0.4">
      <c r="A69" t="s">
        <v>111</v>
      </c>
      <c r="B69" s="7" t="s">
        <v>203</v>
      </c>
      <c r="C69" t="s">
        <v>82</v>
      </c>
      <c r="D69" s="11"/>
      <c r="E69" s="16">
        <v>0.1</v>
      </c>
      <c r="F69" s="13">
        <f t="shared" si="27"/>
        <v>0</v>
      </c>
      <c r="G69" s="13">
        <v>3</v>
      </c>
      <c r="H69" s="13">
        <v>3</v>
      </c>
      <c r="I69" s="13">
        <v>0.65</v>
      </c>
      <c r="J69" s="13">
        <f t="shared" si="23"/>
        <v>5.8500000000000005</v>
      </c>
      <c r="K69" s="27">
        <f t="shared" si="24"/>
        <v>0</v>
      </c>
      <c r="M69" s="38">
        <f t="shared" si="29"/>
        <v>0</v>
      </c>
      <c r="N69" s="38">
        <f t="shared" si="30"/>
        <v>0</v>
      </c>
      <c r="O69" s="38">
        <f t="shared" si="31"/>
        <v>0</v>
      </c>
    </row>
    <row r="70" spans="1:18" x14ac:dyDescent="0.4">
      <c r="A70" t="s">
        <v>111</v>
      </c>
      <c r="B70" s="7" t="s">
        <v>205</v>
      </c>
      <c r="C70" t="s">
        <v>83</v>
      </c>
      <c r="D70" s="11"/>
      <c r="E70" s="16">
        <v>0.1</v>
      </c>
      <c r="F70" s="13">
        <f t="shared" si="27"/>
        <v>0</v>
      </c>
      <c r="G70" s="13">
        <v>3</v>
      </c>
      <c r="H70" s="13">
        <v>3</v>
      </c>
      <c r="I70" s="13">
        <v>0.65</v>
      </c>
      <c r="J70" s="13">
        <f t="shared" si="23"/>
        <v>5.8500000000000005</v>
      </c>
      <c r="K70" s="27">
        <f t="shared" si="24"/>
        <v>0</v>
      </c>
      <c r="M70" s="38">
        <f t="shared" si="29"/>
        <v>0</v>
      </c>
      <c r="N70" s="38">
        <f t="shared" si="30"/>
        <v>0</v>
      </c>
      <c r="O70" s="38">
        <f t="shared" si="31"/>
        <v>0</v>
      </c>
    </row>
    <row r="71" spans="1:18" x14ac:dyDescent="0.4">
      <c r="A71" t="s">
        <v>111</v>
      </c>
      <c r="B71" s="7" t="s">
        <v>38</v>
      </c>
      <c r="C71" t="s">
        <v>39</v>
      </c>
      <c r="D71" s="11"/>
      <c r="E71" s="16">
        <v>0.8</v>
      </c>
      <c r="F71" s="13">
        <f t="shared" si="27"/>
        <v>0</v>
      </c>
      <c r="G71" s="13">
        <v>5</v>
      </c>
      <c r="H71" s="13">
        <v>5</v>
      </c>
      <c r="I71" s="13">
        <v>0.625</v>
      </c>
      <c r="J71" s="13">
        <f t="shared" si="23"/>
        <v>15.625</v>
      </c>
      <c r="K71" s="27">
        <f t="shared" si="24"/>
        <v>0</v>
      </c>
      <c r="M71" s="38">
        <f t="shared" si="29"/>
        <v>0</v>
      </c>
      <c r="N71" s="38">
        <f t="shared" si="30"/>
        <v>0</v>
      </c>
      <c r="O71" s="38">
        <f t="shared" si="31"/>
        <v>0</v>
      </c>
    </row>
    <row r="72" spans="1:18" x14ac:dyDescent="0.4">
      <c r="A72" t="s">
        <v>111</v>
      </c>
      <c r="B72" s="7" t="s">
        <v>204</v>
      </c>
      <c r="C72" t="s">
        <v>87</v>
      </c>
      <c r="D72" s="11"/>
      <c r="E72" s="16">
        <v>0.09</v>
      </c>
      <c r="F72" s="13">
        <f t="shared" si="27"/>
        <v>0</v>
      </c>
      <c r="G72" s="13">
        <v>3</v>
      </c>
      <c r="H72" s="13">
        <v>4</v>
      </c>
      <c r="I72" s="13">
        <v>0.6</v>
      </c>
      <c r="J72" s="13">
        <f t="shared" si="23"/>
        <v>7.1999999999999993</v>
      </c>
      <c r="K72" s="27">
        <f t="shared" si="24"/>
        <v>0</v>
      </c>
      <c r="M72" s="38">
        <f t="shared" si="29"/>
        <v>0</v>
      </c>
      <c r="N72" s="38">
        <f t="shared" si="30"/>
        <v>0</v>
      </c>
      <c r="O72" s="38">
        <f t="shared" si="31"/>
        <v>0</v>
      </c>
    </row>
    <row r="73" spans="1:18" x14ac:dyDescent="0.4">
      <c r="A73" t="s">
        <v>111</v>
      </c>
      <c r="B73" s="7" t="s">
        <v>207</v>
      </c>
      <c r="C73" t="s">
        <v>56</v>
      </c>
      <c r="D73" s="11"/>
      <c r="E73" s="16">
        <v>0.09</v>
      </c>
      <c r="F73" s="13">
        <f t="shared" si="27"/>
        <v>0</v>
      </c>
      <c r="G73" s="13">
        <v>2.375</v>
      </c>
      <c r="H73" s="13">
        <v>2.375</v>
      </c>
      <c r="I73" s="13">
        <v>0.6</v>
      </c>
      <c r="J73" s="13">
        <f t="shared" si="23"/>
        <v>3.3843749999999999</v>
      </c>
      <c r="K73" s="27">
        <f t="shared" si="24"/>
        <v>0</v>
      </c>
      <c r="M73" s="38">
        <f t="shared" si="29"/>
        <v>0</v>
      </c>
      <c r="N73" s="38">
        <f t="shared" si="30"/>
        <v>0</v>
      </c>
      <c r="O73" s="38">
        <f t="shared" si="31"/>
        <v>0</v>
      </c>
    </row>
    <row r="74" spans="1:18" x14ac:dyDescent="0.4">
      <c r="A74" t="s">
        <v>111</v>
      </c>
      <c r="B74" s="7" t="s">
        <v>206</v>
      </c>
      <c r="C74" t="s">
        <v>55</v>
      </c>
      <c r="D74" s="11"/>
      <c r="E74" s="16">
        <v>0.09</v>
      </c>
      <c r="F74" s="13">
        <f t="shared" si="27"/>
        <v>0</v>
      </c>
      <c r="G74" s="13">
        <v>2.375</v>
      </c>
      <c r="H74" s="13">
        <v>2.375</v>
      </c>
      <c r="I74" s="13">
        <v>0.6</v>
      </c>
      <c r="J74" s="13">
        <f t="shared" si="23"/>
        <v>3.3843749999999999</v>
      </c>
      <c r="K74" s="27">
        <f t="shared" si="24"/>
        <v>0</v>
      </c>
      <c r="M74" s="38">
        <f t="shared" si="29"/>
        <v>0</v>
      </c>
      <c r="N74" s="38">
        <f t="shared" si="30"/>
        <v>0</v>
      </c>
      <c r="O74" s="38">
        <f t="shared" si="31"/>
        <v>0</v>
      </c>
    </row>
    <row r="75" spans="1:18" x14ac:dyDescent="0.4">
      <c r="A75" t="s">
        <v>111</v>
      </c>
      <c r="B75" s="7" t="s">
        <v>208</v>
      </c>
      <c r="C75" t="s">
        <v>37</v>
      </c>
      <c r="D75" s="11"/>
      <c r="E75" s="16">
        <v>0.8</v>
      </c>
      <c r="F75" s="13">
        <f t="shared" si="27"/>
        <v>0</v>
      </c>
      <c r="G75" s="13">
        <v>5</v>
      </c>
      <c r="H75" s="13">
        <v>3</v>
      </c>
      <c r="I75" s="13">
        <f>0.04*12</f>
        <v>0.48</v>
      </c>
      <c r="J75" s="13">
        <f t="shared" si="23"/>
        <v>7.1999999999999993</v>
      </c>
      <c r="K75" s="27">
        <f t="shared" si="24"/>
        <v>0</v>
      </c>
      <c r="M75" s="38">
        <f t="shared" si="29"/>
        <v>0</v>
      </c>
      <c r="N75" s="38">
        <f t="shared" si="30"/>
        <v>0</v>
      </c>
      <c r="O75" s="38">
        <f t="shared" si="31"/>
        <v>0</v>
      </c>
    </row>
    <row r="76" spans="1:18" x14ac:dyDescent="0.4">
      <c r="A76" t="s">
        <v>111</v>
      </c>
      <c r="B76" s="7" t="s">
        <v>209</v>
      </c>
      <c r="C76" t="s">
        <v>36</v>
      </c>
      <c r="D76" s="11"/>
      <c r="E76" s="16">
        <v>0.8</v>
      </c>
      <c r="F76" s="13">
        <f t="shared" si="27"/>
        <v>0</v>
      </c>
      <c r="G76" s="13">
        <v>5</v>
      </c>
      <c r="H76" s="13">
        <v>5</v>
      </c>
      <c r="I76" s="13">
        <f>0.04*12</f>
        <v>0.48</v>
      </c>
      <c r="J76" s="13">
        <f t="shared" si="23"/>
        <v>12</v>
      </c>
      <c r="K76" s="27">
        <f t="shared" si="24"/>
        <v>0</v>
      </c>
      <c r="M76" s="38">
        <f t="shared" si="29"/>
        <v>0</v>
      </c>
      <c r="N76" s="38">
        <f t="shared" si="30"/>
        <v>0</v>
      </c>
      <c r="O76" s="38">
        <f t="shared" si="31"/>
        <v>0</v>
      </c>
    </row>
    <row r="77" spans="1:18" x14ac:dyDescent="0.4">
      <c r="A77" t="s">
        <v>111</v>
      </c>
      <c r="B77" s="7" t="s">
        <v>40</v>
      </c>
      <c r="C77" t="s">
        <v>16</v>
      </c>
      <c r="D77" s="11"/>
      <c r="E77" s="16">
        <v>0.16</v>
      </c>
      <c r="F77" s="13">
        <f t="shared" si="27"/>
        <v>0</v>
      </c>
      <c r="G77" s="13">
        <v>5</v>
      </c>
      <c r="H77" s="13">
        <v>5</v>
      </c>
      <c r="I77" s="13">
        <v>0.125</v>
      </c>
      <c r="J77" s="13">
        <f t="shared" si="23"/>
        <v>3.125</v>
      </c>
      <c r="K77" s="27">
        <f t="shared" si="24"/>
        <v>0</v>
      </c>
      <c r="M77" s="38">
        <f t="shared" si="29"/>
        <v>0</v>
      </c>
      <c r="N77" s="38">
        <f t="shared" si="30"/>
        <v>0</v>
      </c>
      <c r="O77" s="38">
        <f t="shared" si="31"/>
        <v>0</v>
      </c>
    </row>
    <row r="78" spans="1:18" x14ac:dyDescent="0.4">
      <c r="A78" t="s">
        <v>112</v>
      </c>
      <c r="B78" s="7" t="s">
        <v>51</v>
      </c>
      <c r="C78" t="s">
        <v>77</v>
      </c>
      <c r="D78" s="11"/>
      <c r="E78" s="16">
        <v>7.0000000000000007E-2</v>
      </c>
      <c r="F78" s="13">
        <f t="shared" si="27"/>
        <v>0</v>
      </c>
      <c r="G78" s="13">
        <v>0.25</v>
      </c>
      <c r="H78" s="13">
        <v>0.25</v>
      </c>
      <c r="I78" s="13">
        <v>5</v>
      </c>
      <c r="J78" s="13">
        <f t="shared" si="23"/>
        <v>0.3125</v>
      </c>
      <c r="K78" s="27">
        <f t="shared" si="24"/>
        <v>0</v>
      </c>
      <c r="M78" s="38">
        <f t="shared" si="29"/>
        <v>0</v>
      </c>
      <c r="N78" s="38">
        <f t="shared" si="30"/>
        <v>0</v>
      </c>
      <c r="O78" s="38">
        <f t="shared" si="31"/>
        <v>0</v>
      </c>
    </row>
    <row r="79" spans="1:18" x14ac:dyDescent="0.4">
      <c r="A79" t="s">
        <v>112</v>
      </c>
      <c r="B79" t="s">
        <v>42</v>
      </c>
      <c r="C79" t="s">
        <v>42</v>
      </c>
      <c r="D79" s="11"/>
      <c r="E79" s="16">
        <v>0.5</v>
      </c>
      <c r="F79" s="13">
        <f t="shared" si="27"/>
        <v>0</v>
      </c>
      <c r="G79" s="13">
        <f>3/8</f>
        <v>0.375</v>
      </c>
      <c r="H79" s="13">
        <v>0.375</v>
      </c>
      <c r="I79" s="13">
        <v>3.75</v>
      </c>
      <c r="J79" s="13">
        <f t="shared" si="23"/>
        <v>0.52734375</v>
      </c>
      <c r="K79" s="27">
        <f t="shared" si="24"/>
        <v>0</v>
      </c>
      <c r="M79" s="38">
        <f t="shared" si="29"/>
        <v>0</v>
      </c>
      <c r="N79" s="38">
        <f t="shared" si="30"/>
        <v>0</v>
      </c>
      <c r="O79" s="38">
        <f t="shared" si="31"/>
        <v>0</v>
      </c>
    </row>
    <row r="80" spans="1:18" x14ac:dyDescent="0.4">
      <c r="A80" t="s">
        <v>112</v>
      </c>
      <c r="B80" s="7" t="s">
        <v>52</v>
      </c>
      <c r="C80" t="s">
        <v>76</v>
      </c>
      <c r="D80" s="11"/>
      <c r="E80" s="16">
        <v>0.06</v>
      </c>
      <c r="F80" s="13">
        <f t="shared" si="27"/>
        <v>0</v>
      </c>
      <c r="G80" s="13">
        <v>0.25</v>
      </c>
      <c r="H80" s="13">
        <v>0.25</v>
      </c>
      <c r="I80" s="13">
        <v>3.625</v>
      </c>
      <c r="J80" s="13">
        <f t="shared" si="23"/>
        <v>0.2265625</v>
      </c>
      <c r="K80" s="27">
        <f t="shared" si="24"/>
        <v>0</v>
      </c>
      <c r="M80" s="38">
        <f t="shared" si="29"/>
        <v>0</v>
      </c>
      <c r="N80" s="38">
        <f t="shared" si="30"/>
        <v>0</v>
      </c>
      <c r="O80" s="38">
        <f t="shared" si="31"/>
        <v>0</v>
      </c>
      <c r="Q80" s="39"/>
      <c r="R80" s="39"/>
    </row>
    <row r="81" spans="1:18" x14ac:dyDescent="0.4">
      <c r="A81" t="s">
        <v>112</v>
      </c>
      <c r="B81" s="7">
        <v>142015</v>
      </c>
      <c r="C81" t="s">
        <v>93</v>
      </c>
      <c r="D81" s="11"/>
      <c r="E81" s="16">
        <v>8.9999999999999993E-3</v>
      </c>
      <c r="F81" s="13">
        <f t="shared" si="27"/>
        <v>0</v>
      </c>
      <c r="G81" s="13">
        <v>0.25</v>
      </c>
      <c r="H81" s="13">
        <v>0.25</v>
      </c>
      <c r="I81" s="13">
        <v>2</v>
      </c>
      <c r="J81" s="13">
        <f t="shared" si="23"/>
        <v>0.125</v>
      </c>
      <c r="K81" s="27">
        <f t="shared" si="24"/>
        <v>0</v>
      </c>
      <c r="M81" s="38">
        <f t="shared" si="29"/>
        <v>0</v>
      </c>
      <c r="N81" s="38">
        <f t="shared" si="30"/>
        <v>0</v>
      </c>
      <c r="O81" s="38">
        <f t="shared" si="31"/>
        <v>0</v>
      </c>
      <c r="Q81" s="39"/>
      <c r="R81" s="39"/>
    </row>
    <row r="82" spans="1:18" x14ac:dyDescent="0.4">
      <c r="A82" t="s">
        <v>112</v>
      </c>
      <c r="B82" t="s">
        <v>141</v>
      </c>
      <c r="C82" t="s">
        <v>142</v>
      </c>
      <c r="D82" s="11"/>
      <c r="E82" s="16">
        <f>0.009*20</f>
        <v>0.18</v>
      </c>
      <c r="F82" s="13">
        <f t="shared" si="27"/>
        <v>0</v>
      </c>
      <c r="G82" s="13">
        <v>0.25</v>
      </c>
      <c r="H82" s="13">
        <v>0.25</v>
      </c>
      <c r="I82" s="13">
        <v>2</v>
      </c>
      <c r="J82" s="13">
        <f t="shared" si="23"/>
        <v>0.125</v>
      </c>
      <c r="K82" s="27">
        <f t="shared" si="24"/>
        <v>0</v>
      </c>
      <c r="M82" s="38">
        <f t="shared" si="29"/>
        <v>0</v>
      </c>
      <c r="N82" s="38">
        <f t="shared" si="30"/>
        <v>0</v>
      </c>
      <c r="O82" s="38">
        <f t="shared" si="31"/>
        <v>0</v>
      </c>
      <c r="Q82" s="39"/>
      <c r="R82" s="39"/>
    </row>
    <row r="83" spans="1:18" x14ac:dyDescent="0.4">
      <c r="A83" t="s">
        <v>112</v>
      </c>
      <c r="B83" t="s">
        <v>69</v>
      </c>
      <c r="C83" t="s">
        <v>70</v>
      </c>
      <c r="D83" s="11"/>
      <c r="E83" s="34">
        <f>0.009*25</f>
        <v>0.22499999999999998</v>
      </c>
      <c r="F83" s="13">
        <f t="shared" si="27"/>
        <v>0</v>
      </c>
      <c r="G83" s="13">
        <v>0.25</v>
      </c>
      <c r="H83" s="13">
        <v>0.25</v>
      </c>
      <c r="I83" s="13">
        <v>2</v>
      </c>
      <c r="J83" s="13">
        <f t="shared" si="23"/>
        <v>0.125</v>
      </c>
      <c r="K83" s="27">
        <f t="shared" si="24"/>
        <v>0</v>
      </c>
      <c r="M83" s="38">
        <f t="shared" si="29"/>
        <v>0</v>
      </c>
      <c r="N83" s="38">
        <f t="shared" si="30"/>
        <v>0</v>
      </c>
      <c r="O83" s="38">
        <f t="shared" si="31"/>
        <v>0</v>
      </c>
      <c r="Q83" s="39"/>
      <c r="R83" s="39"/>
    </row>
    <row r="84" spans="1:18" x14ac:dyDescent="0.4">
      <c r="A84" t="s">
        <v>112</v>
      </c>
      <c r="B84" s="7" t="s">
        <v>210</v>
      </c>
      <c r="C84" t="s">
        <v>75</v>
      </c>
      <c r="D84" s="11"/>
      <c r="E84" s="16">
        <v>0.97</v>
      </c>
      <c r="F84" s="13">
        <f t="shared" si="27"/>
        <v>0</v>
      </c>
      <c r="G84" s="13">
        <v>0.25</v>
      </c>
      <c r="H84" s="13">
        <v>0.25</v>
      </c>
      <c r="I84" s="13">
        <v>1.5</v>
      </c>
      <c r="J84" s="13">
        <f t="shared" si="23"/>
        <v>9.375E-2</v>
      </c>
      <c r="K84" s="27">
        <f t="shared" si="24"/>
        <v>0</v>
      </c>
      <c r="M84" s="38">
        <f t="shared" si="29"/>
        <v>0</v>
      </c>
      <c r="N84" s="38">
        <f t="shared" si="30"/>
        <v>0</v>
      </c>
      <c r="O84" s="38">
        <f t="shared" si="31"/>
        <v>0</v>
      </c>
      <c r="Q84" s="39"/>
      <c r="R84" s="39"/>
    </row>
    <row r="85" spans="1:18" x14ac:dyDescent="0.4">
      <c r="A85" t="s">
        <v>112</v>
      </c>
      <c r="B85" s="7" t="s">
        <v>24</v>
      </c>
      <c r="C85" t="s">
        <v>98</v>
      </c>
      <c r="D85" s="11"/>
      <c r="E85" s="16">
        <v>0.02</v>
      </c>
      <c r="F85" s="13">
        <f t="shared" si="27"/>
        <v>0</v>
      </c>
      <c r="G85" s="13">
        <v>0.75</v>
      </c>
      <c r="H85" s="13">
        <v>0.75</v>
      </c>
      <c r="I85" s="13">
        <v>0.75</v>
      </c>
      <c r="J85" s="13">
        <f t="shared" si="23"/>
        <v>0.421875</v>
      </c>
      <c r="K85" s="27">
        <f t="shared" si="24"/>
        <v>0</v>
      </c>
      <c r="M85" s="38">
        <f t="shared" si="29"/>
        <v>0</v>
      </c>
      <c r="N85" s="38">
        <f t="shared" si="30"/>
        <v>0</v>
      </c>
      <c r="O85" s="38">
        <f t="shared" si="31"/>
        <v>0</v>
      </c>
      <c r="Q85" s="39"/>
      <c r="R85" s="39"/>
    </row>
    <row r="86" spans="1:18" x14ac:dyDescent="0.4">
      <c r="A86" t="s">
        <v>112</v>
      </c>
      <c r="B86" s="7" t="s">
        <v>211</v>
      </c>
      <c r="C86" t="s">
        <v>53</v>
      </c>
      <c r="D86" s="11"/>
      <c r="E86" s="16">
        <v>3.0000000000000001E-3</v>
      </c>
      <c r="F86" s="13">
        <f t="shared" si="27"/>
        <v>0</v>
      </c>
      <c r="G86" s="13">
        <v>0.5</v>
      </c>
      <c r="H86" s="13">
        <v>0.5</v>
      </c>
      <c r="I86" s="13">
        <v>0.25</v>
      </c>
      <c r="J86" s="13">
        <f t="shared" si="23"/>
        <v>6.25E-2</v>
      </c>
      <c r="K86" s="27">
        <f t="shared" si="24"/>
        <v>0</v>
      </c>
      <c r="M86" s="38">
        <f t="shared" si="29"/>
        <v>0</v>
      </c>
      <c r="N86" s="38">
        <f t="shared" si="30"/>
        <v>0</v>
      </c>
      <c r="O86" s="38">
        <f t="shared" si="31"/>
        <v>0</v>
      </c>
      <c r="Q86" s="39"/>
      <c r="R86" s="39"/>
    </row>
    <row r="87" spans="1:18" x14ac:dyDescent="0.4">
      <c r="A87" t="s">
        <v>112</v>
      </c>
      <c r="B87" s="7" t="s">
        <v>43</v>
      </c>
      <c r="C87" t="s">
        <v>44</v>
      </c>
      <c r="D87" s="11"/>
      <c r="E87" s="16">
        <v>6.0000000000000001E-3</v>
      </c>
      <c r="F87" s="13">
        <f t="shared" si="27"/>
        <v>0</v>
      </c>
      <c r="G87" s="13">
        <v>0.5</v>
      </c>
      <c r="H87" s="13">
        <v>0.5</v>
      </c>
      <c r="I87" s="13">
        <v>0.25</v>
      </c>
      <c r="J87" s="13">
        <f t="shared" si="23"/>
        <v>6.25E-2</v>
      </c>
      <c r="K87" s="27">
        <f t="shared" si="24"/>
        <v>0</v>
      </c>
      <c r="M87" s="38">
        <f t="shared" si="29"/>
        <v>0</v>
      </c>
      <c r="N87" s="38">
        <f t="shared" si="30"/>
        <v>0</v>
      </c>
      <c r="O87" s="38">
        <f t="shared" si="31"/>
        <v>0</v>
      </c>
      <c r="Q87" s="39"/>
      <c r="R87" s="39"/>
    </row>
    <row r="88" spans="1:18" x14ac:dyDescent="0.4">
      <c r="A88" t="s">
        <v>110</v>
      </c>
      <c r="B88" s="7" t="s">
        <v>48</v>
      </c>
      <c r="C88" t="s">
        <v>48</v>
      </c>
      <c r="D88" s="11"/>
      <c r="E88" s="16">
        <v>1</v>
      </c>
      <c r="F88" s="13">
        <f t="shared" si="27"/>
        <v>0</v>
      </c>
      <c r="G88" s="13">
        <v>3.5</v>
      </c>
      <c r="H88" s="13">
        <v>3.5</v>
      </c>
      <c r="I88" s="13">
        <v>4.5</v>
      </c>
      <c r="J88" s="13">
        <f t="shared" si="23"/>
        <v>55.125</v>
      </c>
      <c r="K88" s="27">
        <f t="shared" si="24"/>
        <v>0</v>
      </c>
      <c r="M88" s="38">
        <f t="shared" si="29"/>
        <v>0</v>
      </c>
      <c r="N88" s="38">
        <f t="shared" si="30"/>
        <v>0</v>
      </c>
      <c r="O88" s="38">
        <f t="shared" si="31"/>
        <v>0</v>
      </c>
      <c r="Q88" s="39"/>
      <c r="R88" s="39"/>
    </row>
    <row r="89" spans="1:18" x14ac:dyDescent="0.4">
      <c r="A89" t="s">
        <v>110</v>
      </c>
      <c r="B89" t="s">
        <v>47</v>
      </c>
      <c r="C89" t="s">
        <v>59</v>
      </c>
      <c r="D89" s="11"/>
      <c r="E89" s="16">
        <v>2</v>
      </c>
      <c r="F89" s="13">
        <f t="shared" si="27"/>
        <v>0</v>
      </c>
      <c r="G89" s="13">
        <v>4</v>
      </c>
      <c r="H89" s="13">
        <v>4</v>
      </c>
      <c r="I89" s="13">
        <v>4</v>
      </c>
      <c r="J89" s="13">
        <f t="shared" si="23"/>
        <v>64</v>
      </c>
      <c r="K89" s="27">
        <f t="shared" si="24"/>
        <v>0</v>
      </c>
      <c r="M89" s="38">
        <f t="shared" si="29"/>
        <v>0</v>
      </c>
      <c r="N89" s="38">
        <f t="shared" si="30"/>
        <v>0</v>
      </c>
      <c r="O89" s="38">
        <f t="shared" si="31"/>
        <v>0</v>
      </c>
      <c r="Q89" s="39"/>
      <c r="R89" s="39"/>
    </row>
    <row r="90" spans="1:18" x14ac:dyDescent="0.4">
      <c r="A90" t="s">
        <v>114</v>
      </c>
      <c r="B90" s="7" t="s">
        <v>34</v>
      </c>
      <c r="C90" t="s">
        <v>33</v>
      </c>
      <c r="D90" s="11"/>
      <c r="E90" s="16">
        <v>4</v>
      </c>
      <c r="F90" s="13">
        <f t="shared" si="27"/>
        <v>0</v>
      </c>
      <c r="G90" s="13">
        <v>6</v>
      </c>
      <c r="H90" s="13">
        <v>1</v>
      </c>
      <c r="I90" s="13">
        <v>0.57999999999999996</v>
      </c>
      <c r="J90" s="13">
        <f t="shared" si="23"/>
        <v>3.4799999999999995</v>
      </c>
      <c r="K90" s="27">
        <f t="shared" si="24"/>
        <v>0</v>
      </c>
      <c r="M90" s="38">
        <f t="shared" si="29"/>
        <v>0</v>
      </c>
      <c r="N90" s="38">
        <f t="shared" si="30"/>
        <v>0</v>
      </c>
      <c r="O90" s="38">
        <f t="shared" si="31"/>
        <v>0</v>
      </c>
      <c r="Q90" s="39"/>
      <c r="R90" s="39"/>
    </row>
    <row r="91" spans="1:18" x14ac:dyDescent="0.4">
      <c r="A91" t="s">
        <v>114</v>
      </c>
      <c r="B91" s="7" t="s">
        <v>45</v>
      </c>
      <c r="C91" t="s">
        <v>32</v>
      </c>
      <c r="D91" s="11"/>
      <c r="E91" s="16">
        <v>4</v>
      </c>
      <c r="F91" s="13">
        <f t="shared" si="27"/>
        <v>0</v>
      </c>
      <c r="G91" s="13">
        <v>6</v>
      </c>
      <c r="H91" s="13">
        <v>1</v>
      </c>
      <c r="I91" s="13">
        <v>0.57999999999999996</v>
      </c>
      <c r="J91" s="13">
        <f t="shared" si="23"/>
        <v>3.4799999999999995</v>
      </c>
      <c r="K91" s="27">
        <f t="shared" si="24"/>
        <v>0</v>
      </c>
      <c r="M91" s="38">
        <f t="shared" si="29"/>
        <v>0</v>
      </c>
      <c r="N91" s="38">
        <f t="shared" si="30"/>
        <v>0</v>
      </c>
      <c r="O91" s="38">
        <f t="shared" si="31"/>
        <v>0</v>
      </c>
      <c r="Q91" s="39"/>
      <c r="R91" s="39"/>
    </row>
    <row r="92" spans="1:18" s="38" customFormat="1" x14ac:dyDescent="0.4">
      <c r="A92" s="38" t="s">
        <v>115</v>
      </c>
      <c r="B92" s="38" t="s">
        <v>212</v>
      </c>
      <c r="C92" s="38" t="s">
        <v>94</v>
      </c>
      <c r="D92" s="11"/>
      <c r="E92" s="16">
        <v>0.02</v>
      </c>
      <c r="F92" s="13">
        <f t="shared" ref="F92" si="32">E92*D92</f>
        <v>0</v>
      </c>
      <c r="G92" s="13">
        <v>4</v>
      </c>
      <c r="H92" s="13">
        <v>0.25</v>
      </c>
      <c r="I92" s="13">
        <v>0.57999999999999996</v>
      </c>
      <c r="J92" s="13">
        <f t="shared" ref="J92" si="33">G92*H92*I92</f>
        <v>0.57999999999999996</v>
      </c>
      <c r="K92" s="27">
        <f t="shared" ref="K92" si="34">G92*H92*I92*D92</f>
        <v>0</v>
      </c>
      <c r="M92" s="38">
        <f t="shared" ref="M92" si="35">IF(D92&gt;0,I92,0)</f>
        <v>0</v>
      </c>
      <c r="N92" s="38">
        <f t="shared" ref="N92" si="36">IF(D92&gt;0,G92,0)</f>
        <v>0</v>
      </c>
      <c r="O92" s="38">
        <f t="shared" ref="O92" si="37">IF(D92&gt;0,H92,0)</f>
        <v>0</v>
      </c>
      <c r="Q92" s="39"/>
      <c r="R92" s="39"/>
    </row>
    <row r="93" spans="1:18" x14ac:dyDescent="0.4">
      <c r="A93" t="s">
        <v>115</v>
      </c>
      <c r="B93" t="s">
        <v>213</v>
      </c>
      <c r="C93" t="s">
        <v>94</v>
      </c>
      <c r="D93" s="11"/>
      <c r="E93" s="16">
        <v>0.02</v>
      </c>
      <c r="F93" s="13">
        <f t="shared" si="27"/>
        <v>0</v>
      </c>
      <c r="G93" s="13">
        <v>4</v>
      </c>
      <c r="H93" s="13">
        <v>0.25</v>
      </c>
      <c r="I93" s="13">
        <v>0.57999999999999996</v>
      </c>
      <c r="J93" s="13">
        <f t="shared" si="23"/>
        <v>0.57999999999999996</v>
      </c>
      <c r="K93" s="27">
        <f t="shared" si="24"/>
        <v>0</v>
      </c>
      <c r="M93" s="38">
        <f t="shared" si="29"/>
        <v>0</v>
      </c>
      <c r="N93" s="38">
        <f t="shared" si="30"/>
        <v>0</v>
      </c>
      <c r="O93" s="38">
        <f t="shared" si="31"/>
        <v>0</v>
      </c>
      <c r="Q93" s="39"/>
      <c r="R93" s="39"/>
    </row>
    <row r="94" spans="1:18" x14ac:dyDescent="0.4">
      <c r="A94" t="s">
        <v>116</v>
      </c>
      <c r="B94" s="7" t="s">
        <v>27</v>
      </c>
      <c r="C94" t="s">
        <v>28</v>
      </c>
      <c r="D94" s="11"/>
      <c r="E94" s="16">
        <v>0.5</v>
      </c>
      <c r="F94" s="13">
        <f t="shared" si="27"/>
        <v>0</v>
      </c>
      <c r="G94" s="13">
        <v>2.5</v>
      </c>
      <c r="H94" s="13">
        <v>2.5</v>
      </c>
      <c r="I94" s="13">
        <v>0.57999999999999996</v>
      </c>
      <c r="J94" s="13">
        <f t="shared" si="23"/>
        <v>3.6249999999999996</v>
      </c>
      <c r="K94" s="27">
        <f t="shared" si="24"/>
        <v>0</v>
      </c>
      <c r="M94" s="38">
        <f t="shared" si="29"/>
        <v>0</v>
      </c>
      <c r="N94" s="38">
        <f t="shared" si="30"/>
        <v>0</v>
      </c>
      <c r="O94" s="38">
        <f t="shared" si="31"/>
        <v>0</v>
      </c>
      <c r="Q94" s="39"/>
      <c r="R94" s="39"/>
    </row>
    <row r="95" spans="1:18" x14ac:dyDescent="0.4">
      <c r="A95" t="s">
        <v>116</v>
      </c>
      <c r="B95" s="7" t="s">
        <v>26</v>
      </c>
      <c r="C95" s="33" t="s">
        <v>104</v>
      </c>
      <c r="D95" s="11"/>
      <c r="E95" s="16">
        <v>0.2</v>
      </c>
      <c r="F95" s="13">
        <f t="shared" si="27"/>
        <v>0</v>
      </c>
      <c r="G95" s="13">
        <v>1.25</v>
      </c>
      <c r="H95" s="13">
        <v>1.25</v>
      </c>
      <c r="I95" s="13">
        <v>0.28999999999999998</v>
      </c>
      <c r="J95" s="13">
        <f t="shared" si="23"/>
        <v>0.45312499999999994</v>
      </c>
      <c r="K95" s="27">
        <f t="shared" si="24"/>
        <v>0</v>
      </c>
      <c r="M95" s="38">
        <f t="shared" si="29"/>
        <v>0</v>
      </c>
      <c r="N95" s="38">
        <f t="shared" si="30"/>
        <v>0</v>
      </c>
      <c r="O95" s="38">
        <f t="shared" si="31"/>
        <v>0</v>
      </c>
      <c r="Q95" s="39"/>
      <c r="R95" s="39"/>
    </row>
    <row r="96" spans="1:18" s="38" customFormat="1" x14ac:dyDescent="0.4">
      <c r="A96" s="38" t="s">
        <v>113</v>
      </c>
      <c r="B96" s="38" t="s">
        <v>147</v>
      </c>
      <c r="C96" s="38" t="s">
        <v>152</v>
      </c>
      <c r="D96" s="11"/>
      <c r="E96" s="16">
        <f>0.03*10</f>
        <v>0.3</v>
      </c>
      <c r="F96" s="13"/>
      <c r="G96" s="13">
        <v>0.125</v>
      </c>
      <c r="H96" s="13">
        <v>0.125</v>
      </c>
      <c r="I96" s="13">
        <v>12</v>
      </c>
      <c r="J96" s="13">
        <f t="shared" si="23"/>
        <v>0.1875</v>
      </c>
      <c r="K96" s="27">
        <f t="shared" si="24"/>
        <v>0</v>
      </c>
      <c r="M96" s="38">
        <f t="shared" si="29"/>
        <v>0</v>
      </c>
      <c r="N96" s="38">
        <f t="shared" si="30"/>
        <v>0</v>
      </c>
      <c r="O96" s="38">
        <f t="shared" si="31"/>
        <v>0</v>
      </c>
      <c r="Q96" s="39"/>
      <c r="R96" s="39"/>
    </row>
    <row r="97" spans="1:18" s="38" customFormat="1" x14ac:dyDescent="0.4">
      <c r="A97" s="38" t="s">
        <v>113</v>
      </c>
      <c r="B97" s="38" t="s">
        <v>146</v>
      </c>
      <c r="C97" s="38" t="s">
        <v>151</v>
      </c>
      <c r="D97" s="11"/>
      <c r="E97" s="16">
        <f>0.03*15</f>
        <v>0.44999999999999996</v>
      </c>
      <c r="F97" s="13"/>
      <c r="G97" s="13">
        <v>0.125</v>
      </c>
      <c r="H97" s="13">
        <v>0.125</v>
      </c>
      <c r="I97" s="13">
        <v>12</v>
      </c>
      <c r="J97" s="13">
        <f t="shared" si="23"/>
        <v>0.1875</v>
      </c>
      <c r="K97" s="27">
        <f t="shared" si="24"/>
        <v>0</v>
      </c>
      <c r="M97" s="38">
        <f t="shared" si="29"/>
        <v>0</v>
      </c>
      <c r="N97" s="38">
        <f t="shared" si="30"/>
        <v>0</v>
      </c>
      <c r="O97" s="38">
        <f t="shared" si="31"/>
        <v>0</v>
      </c>
      <c r="Q97" s="39"/>
      <c r="R97" s="39"/>
    </row>
    <row r="98" spans="1:18" s="38" customFormat="1" x14ac:dyDescent="0.4">
      <c r="A98" s="38" t="s">
        <v>113</v>
      </c>
      <c r="B98" s="38" t="s">
        <v>145</v>
      </c>
      <c r="C98" s="38" t="s">
        <v>150</v>
      </c>
      <c r="D98" s="11"/>
      <c r="E98" s="16">
        <f>0.03*20</f>
        <v>0.6</v>
      </c>
      <c r="F98" s="13"/>
      <c r="G98" s="13">
        <v>0.125</v>
      </c>
      <c r="H98" s="13">
        <v>0.125</v>
      </c>
      <c r="I98" s="13">
        <v>12</v>
      </c>
      <c r="J98" s="13">
        <f t="shared" si="23"/>
        <v>0.1875</v>
      </c>
      <c r="K98" s="27">
        <f t="shared" si="24"/>
        <v>0</v>
      </c>
      <c r="M98" s="38">
        <f t="shared" si="29"/>
        <v>0</v>
      </c>
      <c r="N98" s="38">
        <f t="shared" si="30"/>
        <v>0</v>
      </c>
      <c r="O98" s="38">
        <f t="shared" si="31"/>
        <v>0</v>
      </c>
      <c r="Q98" s="39"/>
      <c r="R98" s="39"/>
    </row>
    <row r="99" spans="1:18" s="38" customFormat="1" x14ac:dyDescent="0.4">
      <c r="A99" s="38" t="s">
        <v>113</v>
      </c>
      <c r="B99" s="38" t="s">
        <v>144</v>
      </c>
      <c r="C99" s="38" t="s">
        <v>149</v>
      </c>
      <c r="D99" s="11"/>
      <c r="E99" s="16">
        <f>0.03*25</f>
        <v>0.75</v>
      </c>
      <c r="F99" s="13"/>
      <c r="G99" s="13">
        <v>0.125</v>
      </c>
      <c r="H99" s="13">
        <v>0.125</v>
      </c>
      <c r="I99" s="13">
        <v>12</v>
      </c>
      <c r="J99" s="13">
        <f t="shared" si="23"/>
        <v>0.1875</v>
      </c>
      <c r="K99" s="27">
        <f t="shared" si="24"/>
        <v>0</v>
      </c>
      <c r="M99" s="38">
        <f t="shared" si="29"/>
        <v>0</v>
      </c>
      <c r="N99" s="38">
        <f t="shared" si="30"/>
        <v>0</v>
      </c>
      <c r="O99" s="38">
        <f t="shared" si="31"/>
        <v>0</v>
      </c>
      <c r="Q99" s="39"/>
      <c r="R99" s="39"/>
    </row>
    <row r="100" spans="1:18" x14ac:dyDescent="0.4">
      <c r="A100" t="s">
        <v>113</v>
      </c>
      <c r="B100" t="s">
        <v>143</v>
      </c>
      <c r="C100" t="s">
        <v>148</v>
      </c>
      <c r="D100" s="11"/>
      <c r="E100" s="16">
        <f>0.03*30</f>
        <v>0.89999999999999991</v>
      </c>
      <c r="F100" s="13">
        <f>E100*D100</f>
        <v>0</v>
      </c>
      <c r="G100" s="13">
        <v>0.125</v>
      </c>
      <c r="H100" s="13">
        <v>0.125</v>
      </c>
      <c r="I100" s="13">
        <v>12</v>
      </c>
      <c r="J100" s="13">
        <f>G100*H100*I100</f>
        <v>0.1875</v>
      </c>
      <c r="K100" s="27">
        <f>G100*H100*I100*D100</f>
        <v>0</v>
      </c>
      <c r="M100" s="38">
        <f t="shared" si="29"/>
        <v>0</v>
      </c>
      <c r="N100" s="38">
        <f t="shared" si="30"/>
        <v>0</v>
      </c>
      <c r="O100" s="38">
        <f t="shared" si="31"/>
        <v>0</v>
      </c>
      <c r="Q100" s="39"/>
      <c r="R100" s="39"/>
    </row>
    <row r="101" spans="1:18" s="38" customFormat="1" x14ac:dyDescent="0.4">
      <c r="A101" s="38" t="s">
        <v>113</v>
      </c>
      <c r="B101" s="7" t="s">
        <v>124</v>
      </c>
      <c r="C101" s="33" t="s">
        <v>136</v>
      </c>
      <c r="D101" s="11"/>
      <c r="E101" s="16">
        <v>0.16</v>
      </c>
      <c r="F101" s="13">
        <f t="shared" si="27"/>
        <v>0</v>
      </c>
      <c r="G101" s="13">
        <v>2</v>
      </c>
      <c r="H101" s="13">
        <v>0.25</v>
      </c>
      <c r="I101" s="13">
        <v>3</v>
      </c>
      <c r="J101" s="13">
        <f t="shared" si="23"/>
        <v>1.5</v>
      </c>
      <c r="K101" s="27">
        <f t="shared" si="24"/>
        <v>0</v>
      </c>
      <c r="M101" s="38">
        <f t="shared" si="29"/>
        <v>0</v>
      </c>
      <c r="N101" s="38">
        <f t="shared" si="30"/>
        <v>0</v>
      </c>
      <c r="O101" s="38">
        <f t="shared" si="31"/>
        <v>0</v>
      </c>
      <c r="Q101" s="39"/>
      <c r="R101" s="39"/>
    </row>
    <row r="102" spans="1:18" s="38" customFormat="1" x14ac:dyDescent="0.4">
      <c r="A102" s="38" t="s">
        <v>113</v>
      </c>
      <c r="B102" s="7" t="s">
        <v>214</v>
      </c>
      <c r="C102" s="33" t="s">
        <v>137</v>
      </c>
      <c r="D102" s="11"/>
      <c r="E102" s="16">
        <v>0.06</v>
      </c>
      <c r="F102" s="13">
        <f t="shared" ref="F102" si="38">E102*D102</f>
        <v>0</v>
      </c>
      <c r="G102" s="13">
        <v>0.25</v>
      </c>
      <c r="H102" s="13">
        <v>0.25</v>
      </c>
      <c r="I102" s="13">
        <v>3.75</v>
      </c>
      <c r="J102" s="13">
        <f t="shared" ref="J102" si="39">G102*H102*I102</f>
        <v>0.234375</v>
      </c>
      <c r="K102" s="27">
        <f t="shared" ref="K102" si="40">G102*H102*I102*D102</f>
        <v>0</v>
      </c>
      <c r="M102" s="38">
        <f t="shared" ref="M102" si="41">IF(D102&gt;0,I102,0)</f>
        <v>0</v>
      </c>
      <c r="N102" s="38">
        <f t="shared" ref="N102" si="42">IF(D102&gt;0,G102,0)</f>
        <v>0</v>
      </c>
      <c r="O102" s="38">
        <f t="shared" ref="O102" si="43">IF(D102&gt;0,H102,0)</f>
        <v>0</v>
      </c>
      <c r="Q102" s="39"/>
      <c r="R102" s="39"/>
    </row>
    <row r="103" spans="1:18" s="38" customFormat="1" x14ac:dyDescent="0.4">
      <c r="A103" s="38" t="s">
        <v>113</v>
      </c>
      <c r="B103" s="7" t="s">
        <v>215</v>
      </c>
      <c r="C103" s="33" t="s">
        <v>137</v>
      </c>
      <c r="D103" s="11"/>
      <c r="E103" s="16">
        <v>0.06</v>
      </c>
      <c r="F103" s="13">
        <f t="shared" si="27"/>
        <v>0</v>
      </c>
      <c r="G103" s="13">
        <v>0.25</v>
      </c>
      <c r="H103" s="13">
        <v>0.25</v>
      </c>
      <c r="I103" s="13">
        <v>3.75</v>
      </c>
      <c r="J103" s="13">
        <f t="shared" si="23"/>
        <v>0.234375</v>
      </c>
      <c r="K103" s="27">
        <f t="shared" si="24"/>
        <v>0</v>
      </c>
      <c r="M103" s="38">
        <f t="shared" si="29"/>
        <v>0</v>
      </c>
      <c r="N103" s="38">
        <f t="shared" si="30"/>
        <v>0</v>
      </c>
      <c r="O103" s="38">
        <f t="shared" si="31"/>
        <v>0</v>
      </c>
      <c r="Q103" s="39"/>
      <c r="R103" s="39"/>
    </row>
    <row r="104" spans="1:18" s="38" customFormat="1" x14ac:dyDescent="0.4">
      <c r="A104" s="38" t="s">
        <v>113</v>
      </c>
      <c r="B104" s="7" t="s">
        <v>125</v>
      </c>
      <c r="C104" s="33" t="s">
        <v>138</v>
      </c>
      <c r="D104" s="11"/>
      <c r="E104" s="16">
        <v>0.19</v>
      </c>
      <c r="F104" s="13">
        <f t="shared" si="27"/>
        <v>0</v>
      </c>
      <c r="G104" s="13">
        <v>0.25</v>
      </c>
      <c r="H104" s="13">
        <v>0.25</v>
      </c>
      <c r="I104" s="13">
        <v>3.75</v>
      </c>
      <c r="J104" s="13">
        <f t="shared" ref="J104:J106" si="44">G104*H104*I104</f>
        <v>0.234375</v>
      </c>
      <c r="K104" s="27">
        <f t="shared" si="24"/>
        <v>0</v>
      </c>
      <c r="M104" s="38">
        <f t="shared" si="29"/>
        <v>0</v>
      </c>
      <c r="N104" s="38">
        <f t="shared" si="30"/>
        <v>0</v>
      </c>
      <c r="O104" s="38">
        <f t="shared" si="31"/>
        <v>0</v>
      </c>
      <c r="Q104" s="39"/>
      <c r="R104" s="39"/>
    </row>
    <row r="105" spans="1:18" s="38" customFormat="1" x14ac:dyDescent="0.4">
      <c r="A105" s="38" t="s">
        <v>113</v>
      </c>
      <c r="B105" s="7" t="s">
        <v>126</v>
      </c>
      <c r="C105" s="33" t="s">
        <v>139</v>
      </c>
      <c r="D105" s="11"/>
      <c r="E105" s="16">
        <v>0.06</v>
      </c>
      <c r="F105" s="13">
        <f t="shared" si="27"/>
        <v>0</v>
      </c>
      <c r="G105" s="13">
        <v>0.25</v>
      </c>
      <c r="H105" s="13">
        <v>0.5</v>
      </c>
      <c r="I105" s="13">
        <v>0.25</v>
      </c>
      <c r="J105" s="13">
        <f t="shared" si="44"/>
        <v>3.125E-2</v>
      </c>
      <c r="K105" s="27">
        <f t="shared" si="24"/>
        <v>0</v>
      </c>
      <c r="M105" s="38">
        <f t="shared" si="29"/>
        <v>0</v>
      </c>
      <c r="N105" s="38">
        <f t="shared" si="30"/>
        <v>0</v>
      </c>
      <c r="O105" s="38">
        <f t="shared" si="31"/>
        <v>0</v>
      </c>
      <c r="Q105" s="39"/>
      <c r="R105" s="39"/>
    </row>
    <row r="106" spans="1:18" s="38" customFormat="1" x14ac:dyDescent="0.4">
      <c r="A106" s="38" t="s">
        <v>113</v>
      </c>
      <c r="B106" s="7" t="s">
        <v>134</v>
      </c>
      <c r="C106" s="33" t="s">
        <v>140</v>
      </c>
      <c r="D106" s="11"/>
      <c r="E106" s="16">
        <v>0.02</v>
      </c>
      <c r="F106" s="13">
        <f t="shared" si="27"/>
        <v>0</v>
      </c>
      <c r="G106" s="13">
        <v>7.02</v>
      </c>
      <c r="H106" s="13">
        <v>0.35</v>
      </c>
      <c r="I106" s="13">
        <v>0.25</v>
      </c>
      <c r="J106" s="13">
        <f t="shared" si="44"/>
        <v>0.61424999999999996</v>
      </c>
      <c r="K106" s="27">
        <f t="shared" si="24"/>
        <v>0</v>
      </c>
      <c r="M106" s="38">
        <f t="shared" si="29"/>
        <v>0</v>
      </c>
      <c r="N106" s="38">
        <f t="shared" si="30"/>
        <v>0</v>
      </c>
      <c r="O106" s="38">
        <f t="shared" si="31"/>
        <v>0</v>
      </c>
      <c r="Q106" s="39"/>
      <c r="R106" s="39"/>
    </row>
    <row r="107" spans="1:18" x14ac:dyDescent="0.4">
      <c r="A107" t="s">
        <v>113</v>
      </c>
      <c r="B107" t="s">
        <v>14</v>
      </c>
      <c r="C107" t="s">
        <v>22</v>
      </c>
      <c r="D107" s="11"/>
      <c r="E107" s="16">
        <v>0.02</v>
      </c>
      <c r="F107" s="13">
        <f t="shared" si="27"/>
        <v>0</v>
      </c>
      <c r="G107" s="13">
        <v>0.25</v>
      </c>
      <c r="H107" s="13">
        <v>0.25</v>
      </c>
      <c r="I107" s="13">
        <v>3</v>
      </c>
      <c r="J107" s="13">
        <f t="shared" si="23"/>
        <v>0.1875</v>
      </c>
      <c r="K107" s="27">
        <f t="shared" si="24"/>
        <v>0</v>
      </c>
      <c r="M107" s="38">
        <f t="shared" si="29"/>
        <v>0</v>
      </c>
      <c r="N107" s="38">
        <f t="shared" si="30"/>
        <v>0</v>
      </c>
      <c r="O107" s="38">
        <f t="shared" si="31"/>
        <v>0</v>
      </c>
      <c r="Q107" s="39"/>
      <c r="R107" s="39"/>
    </row>
    <row r="108" spans="1:18" x14ac:dyDescent="0.4">
      <c r="A108" t="s">
        <v>113</v>
      </c>
      <c r="B108" s="7" t="s">
        <v>95</v>
      </c>
      <c r="C108" t="s">
        <v>97</v>
      </c>
      <c r="D108" s="11"/>
      <c r="E108" s="16">
        <v>0.16</v>
      </c>
      <c r="F108" s="13">
        <f t="shared" si="27"/>
        <v>0</v>
      </c>
      <c r="G108" s="13">
        <v>7.5</v>
      </c>
      <c r="H108" s="13">
        <v>0.25</v>
      </c>
      <c r="I108" s="13">
        <v>0.5</v>
      </c>
      <c r="J108" s="13">
        <f t="shared" si="23"/>
        <v>0.9375</v>
      </c>
      <c r="K108" s="27">
        <f t="shared" si="24"/>
        <v>0</v>
      </c>
      <c r="M108" s="38">
        <f t="shared" si="29"/>
        <v>0</v>
      </c>
      <c r="N108" s="38">
        <f t="shared" si="30"/>
        <v>0</v>
      </c>
      <c r="O108" s="38">
        <f t="shared" si="31"/>
        <v>0</v>
      </c>
      <c r="Q108" s="39"/>
      <c r="R108" s="39"/>
    </row>
    <row r="109" spans="1:18" s="38" customFormat="1" x14ac:dyDescent="0.4">
      <c r="A109" s="38" t="s">
        <v>113</v>
      </c>
      <c r="B109" s="7" t="s">
        <v>127</v>
      </c>
      <c r="C109" s="38" t="s">
        <v>135</v>
      </c>
      <c r="D109" s="11"/>
      <c r="E109" s="16">
        <v>0.06</v>
      </c>
      <c r="F109" s="13">
        <f t="shared" si="27"/>
        <v>0</v>
      </c>
      <c r="G109" s="13">
        <v>0.433</v>
      </c>
      <c r="H109" s="13">
        <v>6.3E-2</v>
      </c>
      <c r="I109" s="13">
        <v>0.433</v>
      </c>
      <c r="J109" s="13">
        <f t="shared" si="23"/>
        <v>1.1811807000000001E-2</v>
      </c>
      <c r="K109" s="27">
        <f t="shared" si="24"/>
        <v>0</v>
      </c>
      <c r="M109" s="38">
        <f t="shared" si="29"/>
        <v>0</v>
      </c>
      <c r="N109" s="38">
        <f t="shared" si="30"/>
        <v>0</v>
      </c>
      <c r="O109" s="38">
        <f t="shared" si="31"/>
        <v>0</v>
      </c>
      <c r="Q109" s="39"/>
      <c r="R109" s="39"/>
    </row>
    <row r="110" spans="1:18" x14ac:dyDescent="0.4">
      <c r="A110" t="s">
        <v>113</v>
      </c>
      <c r="B110" s="7" t="s">
        <v>216</v>
      </c>
      <c r="C110" s="1" t="s">
        <v>157</v>
      </c>
      <c r="D110" s="11"/>
      <c r="E110" s="16">
        <v>0.06</v>
      </c>
      <c r="F110" s="13">
        <f t="shared" si="27"/>
        <v>0</v>
      </c>
      <c r="G110" s="13">
        <v>4</v>
      </c>
      <c r="H110" s="13">
        <v>0.5</v>
      </c>
      <c r="I110" s="13">
        <v>0.25</v>
      </c>
      <c r="J110" s="13">
        <f t="shared" si="23"/>
        <v>0.5</v>
      </c>
      <c r="K110" s="27">
        <f t="shared" si="24"/>
        <v>0</v>
      </c>
      <c r="M110" s="38">
        <f t="shared" si="29"/>
        <v>0</v>
      </c>
      <c r="N110" s="38">
        <f t="shared" si="30"/>
        <v>0</v>
      </c>
      <c r="O110" s="38">
        <f t="shared" si="31"/>
        <v>0</v>
      </c>
      <c r="Q110" s="39"/>
      <c r="R110" s="39"/>
    </row>
    <row r="111" spans="1:18" x14ac:dyDescent="0.4">
      <c r="A111" t="s">
        <v>113</v>
      </c>
      <c r="B111" s="7" t="s">
        <v>96</v>
      </c>
      <c r="C111" s="33" t="s">
        <v>103</v>
      </c>
      <c r="D111" s="11"/>
      <c r="E111" s="16">
        <v>0.19</v>
      </c>
      <c r="F111" s="13">
        <f t="shared" si="27"/>
        <v>0</v>
      </c>
      <c r="G111" s="13">
        <v>7.02</v>
      </c>
      <c r="H111" s="13">
        <v>0.35</v>
      </c>
      <c r="I111" s="13">
        <v>0.25</v>
      </c>
      <c r="J111" s="13">
        <f t="shared" si="23"/>
        <v>0.61424999999999996</v>
      </c>
      <c r="K111" s="27">
        <f t="shared" si="24"/>
        <v>0</v>
      </c>
      <c r="M111" s="38">
        <f t="shared" si="29"/>
        <v>0</v>
      </c>
      <c r="N111" s="38">
        <f t="shared" si="30"/>
        <v>0</v>
      </c>
      <c r="O111" s="38">
        <f t="shared" si="31"/>
        <v>0</v>
      </c>
      <c r="Q111" s="39"/>
      <c r="R111" s="39"/>
    </row>
    <row r="112" spans="1:18" x14ac:dyDescent="0.4">
      <c r="C112" s="2" t="s">
        <v>17</v>
      </c>
      <c r="D112" s="31">
        <v>0.05</v>
      </c>
      <c r="E112" s="18">
        <f>+D112</f>
        <v>0.05</v>
      </c>
      <c r="F112" s="15">
        <f>SUM(F56:F111)*E112</f>
        <v>0</v>
      </c>
      <c r="G112" s="15"/>
      <c r="H112" s="15"/>
      <c r="I112" s="15"/>
      <c r="J112" s="13">
        <f t="shared" si="23"/>
        <v>0</v>
      </c>
      <c r="K112" s="27">
        <f>G112*H112*I112*D112</f>
        <v>0</v>
      </c>
    </row>
    <row r="113" spans="2:16" ht="15" thickBot="1" x14ac:dyDescent="0.45">
      <c r="C113" s="5" t="s">
        <v>120</v>
      </c>
      <c r="D113" s="11"/>
      <c r="E113" s="19">
        <v>1</v>
      </c>
      <c r="F113" s="20">
        <f>E113*D113</f>
        <v>0</v>
      </c>
      <c r="G113" s="14"/>
      <c r="H113" s="14"/>
      <c r="I113" s="14"/>
      <c r="J113" s="13">
        <f t="shared" si="23"/>
        <v>0</v>
      </c>
      <c r="K113" s="27">
        <f>G113*H113*I113*D113</f>
        <v>0</v>
      </c>
    </row>
    <row r="114" spans="2:16" ht="15" thickBot="1" x14ac:dyDescent="0.45">
      <c r="B114" s="8"/>
      <c r="C114" s="9"/>
      <c r="D114" s="9"/>
      <c r="E114" s="24"/>
      <c r="F114" s="28">
        <f>SUM(F56:F113)</f>
        <v>0</v>
      </c>
      <c r="G114" s="22"/>
      <c r="H114" s="22"/>
      <c r="I114" s="22"/>
      <c r="J114" s="10"/>
      <c r="K114" s="28">
        <f>SUM(K56:K113)</f>
        <v>0</v>
      </c>
      <c r="L114" s="36" t="s">
        <v>118</v>
      </c>
      <c r="M114" s="50">
        <f>MAX(M56:M112)</f>
        <v>0</v>
      </c>
      <c r="N114" s="25"/>
      <c r="P114" s="29"/>
    </row>
    <row r="115" spans="2:16" ht="15" thickTop="1" x14ac:dyDescent="0.4">
      <c r="D115" s="11"/>
      <c r="F115" s="13"/>
      <c r="J115" s="13"/>
      <c r="L115" s="46" t="s">
        <v>119</v>
      </c>
      <c r="M115" s="51">
        <f>MAX(N56:N111)</f>
        <v>0</v>
      </c>
    </row>
    <row r="116" spans="2:16" ht="17.149999999999999" thickBot="1" x14ac:dyDescent="0.45">
      <c r="B116" s="32"/>
      <c r="C116" s="32"/>
      <c r="L116" s="37" t="s">
        <v>155</v>
      </c>
      <c r="M116" s="52">
        <f>MAX(O56:O112)</f>
        <v>0</v>
      </c>
    </row>
    <row r="117" spans="2:16" ht="16.75" x14ac:dyDescent="0.4">
      <c r="C117" s="32"/>
    </row>
    <row r="118" spans="2:16" x14ac:dyDescent="0.4">
      <c r="C118" s="33"/>
    </row>
  </sheetData>
  <sortState xmlns:xlrd2="http://schemas.microsoft.com/office/spreadsheetml/2017/richdata2" ref="A37:K48">
    <sortCondition ref="A37:A48"/>
    <sortCondition ref="B37:B48"/>
  </sortState>
  <mergeCells count="3">
    <mergeCell ref="A35:K35"/>
    <mergeCell ref="A54:K54"/>
    <mergeCell ref="A1:K1"/>
  </mergeCells>
  <pageMargins left="0.7" right="0.7" top="0.75" bottom="0.75" header="0.3" footer="0.3"/>
  <pageSetup scale="7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Freight Quote Workbook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Polly</dc:creator>
  <cp:lastModifiedBy>Owner</cp:lastModifiedBy>
  <cp:lastPrinted>2019-08-16T03:13:11Z</cp:lastPrinted>
  <dcterms:created xsi:type="dcterms:W3CDTF">2018-07-24T15:20:14Z</dcterms:created>
  <dcterms:modified xsi:type="dcterms:W3CDTF">2021-05-25T17:16:05Z</dcterms:modified>
</cp:coreProperties>
</file>